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xr:revisionPtr revIDLastSave="0" documentId="8_{78D9B6B7-75AE-4585-B71B-96BCDF6C2E39}" xr6:coauthVersionLast="47" xr6:coauthVersionMax="47" xr10:uidLastSave="{00000000-0000-0000-0000-000000000000}"/>
  <bookViews>
    <workbookView xWindow="240" yWindow="135" windowWidth="20055" windowHeight="7440" firstSheet="8" activeTab="8" xr2:uid="{00000000-000D-0000-FFFF-FFFF00000000}"/>
  </bookViews>
  <sheets>
    <sheet name="raw  data-stocks" sheetId="1" r:id="rId1"/>
    <sheet name="Apple" sheetId="2" r:id="rId2"/>
    <sheet name="msft" sheetId="4" r:id="rId3"/>
    <sheet name="nflx" sheetId="5" r:id="rId4"/>
    <sheet name="google" sheetId="3" r:id="rId5"/>
    <sheet name="kpi" sheetId="7" r:id="rId6"/>
    <sheet name="correlation" sheetId="9" r:id="rId7"/>
    <sheet name="charts" sheetId="8" r:id="rId8"/>
    <sheet name="Dashboard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9" l="1"/>
  <c r="J6" i="9"/>
  <c r="L5" i="9"/>
  <c r="J5" i="9"/>
  <c r="L4" i="9"/>
  <c r="K4" i="9"/>
  <c r="I6" i="9"/>
  <c r="I5" i="9"/>
  <c r="I4" i="9"/>
  <c r="J4" i="9"/>
  <c r="K5" i="9"/>
  <c r="L3" i="9"/>
  <c r="K3" i="9"/>
  <c r="J3" i="9"/>
  <c r="L6" i="9"/>
  <c r="I3" i="9"/>
  <c r="B1" i="9" a="1"/>
  <c r="B1" i="9"/>
  <c r="E1" i="9" a="1"/>
  <c r="E1" i="9"/>
  <c r="D1" i="9" a="1"/>
  <c r="D1" i="9"/>
  <c r="C1" i="9" a="1"/>
  <c r="C1" i="9"/>
  <c r="A2" i="9" a="1"/>
  <c r="A2" i="9"/>
  <c r="A1" i="8" a="1"/>
  <c r="A1" i="8"/>
  <c r="I2" i="8" a="1"/>
  <c r="I2" i="8"/>
  <c r="H2" i="8" a="1"/>
  <c r="H2" i="8"/>
  <c r="G2" i="8" a="1"/>
  <c r="G2" i="8"/>
  <c r="F2" i="8" a="1"/>
  <c r="F2" i="8"/>
  <c r="E2" i="8" a="1"/>
  <c r="E2" i="8"/>
  <c r="D2" i="8" a="1"/>
  <c r="D2" i="8"/>
  <c r="C2" i="8" a="1"/>
  <c r="C2" i="8"/>
  <c r="B2" i="8" a="1"/>
  <c r="B2" i="8"/>
  <c r="V3" i="3"/>
  <c r="V1" i="3"/>
  <c r="V4" i="3"/>
  <c r="V4" i="5"/>
  <c r="V3" i="5"/>
  <c r="V1" i="5"/>
  <c r="V4" i="4"/>
  <c r="V3" i="4"/>
  <c r="V1" i="4"/>
  <c r="W4" i="2"/>
  <c r="W3" i="2"/>
  <c r="W1" i="2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8" i="5"/>
  <c r="M2" i="8" s="1" a="1"/>
  <c r="M2" i="8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3" i="5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8" i="4"/>
  <c r="L2" i="8" s="1" a="1"/>
  <c r="L2" i="8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3" i="4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8" i="3"/>
  <c r="N2" i="8" s="1" a="1"/>
  <c r="N2" i="8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3" i="3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L63" i="2" s="1"/>
  <c r="K56" i="2"/>
  <c r="I56" i="2"/>
  <c r="L62" i="2" s="1"/>
  <c r="K55" i="2"/>
  <c r="I55" i="2"/>
  <c r="L61" i="2" s="1"/>
  <c r="K54" i="2"/>
  <c r="I54" i="2"/>
  <c r="L60" i="2" s="1"/>
  <c r="K53" i="2"/>
  <c r="I53" i="2"/>
  <c r="L59" i="2" s="1"/>
  <c r="K52" i="2"/>
  <c r="I52" i="2"/>
  <c r="L58" i="2" s="1"/>
  <c r="K51" i="2"/>
  <c r="I51" i="2"/>
  <c r="L57" i="2" s="1"/>
  <c r="K50" i="2"/>
  <c r="I50" i="2"/>
  <c r="L56" i="2" s="1"/>
  <c r="K49" i="2"/>
  <c r="I49" i="2"/>
  <c r="L55" i="2" s="1"/>
  <c r="K48" i="2"/>
  <c r="I48" i="2"/>
  <c r="L54" i="2" s="1"/>
  <c r="K47" i="2"/>
  <c r="I47" i="2"/>
  <c r="L53" i="2" s="1"/>
  <c r="K46" i="2"/>
  <c r="I46" i="2"/>
  <c r="L52" i="2" s="1"/>
  <c r="K45" i="2"/>
  <c r="I45" i="2"/>
  <c r="L51" i="2" s="1"/>
  <c r="K44" i="2"/>
  <c r="I44" i="2"/>
  <c r="L50" i="2" s="1"/>
  <c r="K43" i="2"/>
  <c r="I43" i="2"/>
  <c r="L49" i="2" s="1"/>
  <c r="K42" i="2"/>
  <c r="I42" i="2"/>
  <c r="L48" i="2" s="1"/>
  <c r="K41" i="2"/>
  <c r="I41" i="2"/>
  <c r="L47" i="2" s="1"/>
  <c r="K40" i="2"/>
  <c r="I40" i="2"/>
  <c r="L46" i="2" s="1"/>
  <c r="K39" i="2"/>
  <c r="I39" i="2"/>
  <c r="L45" i="2" s="1"/>
  <c r="K38" i="2"/>
  <c r="I38" i="2"/>
  <c r="L44" i="2" s="1"/>
  <c r="K37" i="2"/>
  <c r="I37" i="2"/>
  <c r="L43" i="2" s="1"/>
  <c r="K36" i="2"/>
  <c r="I36" i="2"/>
  <c r="L42" i="2" s="1"/>
  <c r="K35" i="2"/>
  <c r="I35" i="2"/>
  <c r="L41" i="2" s="1"/>
  <c r="K34" i="2"/>
  <c r="I34" i="2"/>
  <c r="L40" i="2" s="1"/>
  <c r="K33" i="2"/>
  <c r="I33" i="2"/>
  <c r="L39" i="2" s="1"/>
  <c r="K32" i="2"/>
  <c r="I32" i="2"/>
  <c r="L38" i="2" s="1"/>
  <c r="K31" i="2"/>
  <c r="I31" i="2"/>
  <c r="L37" i="2" s="1"/>
  <c r="K30" i="2"/>
  <c r="I30" i="2"/>
  <c r="L36" i="2" s="1"/>
  <c r="K29" i="2"/>
  <c r="I29" i="2"/>
  <c r="L35" i="2" s="1"/>
  <c r="K28" i="2"/>
  <c r="I28" i="2"/>
  <c r="L34" i="2" s="1"/>
  <c r="K27" i="2"/>
  <c r="I27" i="2"/>
  <c r="L33" i="2" s="1"/>
  <c r="K26" i="2"/>
  <c r="I26" i="2"/>
  <c r="L32" i="2" s="1"/>
  <c r="K25" i="2"/>
  <c r="I25" i="2"/>
  <c r="L31" i="2" s="1"/>
  <c r="K24" i="2"/>
  <c r="I24" i="2"/>
  <c r="L30" i="2" s="1"/>
  <c r="K23" i="2"/>
  <c r="I23" i="2"/>
  <c r="L29" i="2" s="1"/>
  <c r="K22" i="2"/>
  <c r="I22" i="2"/>
  <c r="L28" i="2" s="1"/>
  <c r="K21" i="2"/>
  <c r="I21" i="2"/>
  <c r="L27" i="2" s="1"/>
  <c r="K20" i="2"/>
  <c r="I20" i="2"/>
  <c r="L26" i="2" s="1"/>
  <c r="K19" i="2"/>
  <c r="I19" i="2"/>
  <c r="L25" i="2" s="1"/>
  <c r="K18" i="2"/>
  <c r="I18" i="2"/>
  <c r="L24" i="2" s="1"/>
  <c r="K17" i="2"/>
  <c r="I17" i="2"/>
  <c r="L23" i="2" s="1"/>
  <c r="K16" i="2"/>
  <c r="I16" i="2"/>
  <c r="L22" i="2" s="1"/>
  <c r="K15" i="2"/>
  <c r="I15" i="2"/>
  <c r="L21" i="2" s="1"/>
  <c r="K14" i="2"/>
  <c r="I14" i="2"/>
  <c r="L20" i="2" s="1"/>
  <c r="K13" i="2"/>
  <c r="I13" i="2"/>
  <c r="L19" i="2" s="1"/>
  <c r="K12" i="2"/>
  <c r="I12" i="2"/>
  <c r="L18" i="2" s="1"/>
  <c r="K11" i="2"/>
  <c r="I11" i="2"/>
  <c r="L17" i="2" s="1"/>
  <c r="K10" i="2"/>
  <c r="I10" i="2"/>
  <c r="L16" i="2" s="1"/>
  <c r="K9" i="2"/>
  <c r="I9" i="2"/>
  <c r="L15" i="2" s="1"/>
  <c r="K8" i="2"/>
  <c r="K2" i="8" s="1" a="1"/>
  <c r="K2" i="8" s="1"/>
  <c r="I8" i="2"/>
  <c r="L14" i="2" s="1"/>
  <c r="I7" i="2"/>
  <c r="I6" i="2"/>
  <c r="L12" i="2" s="1"/>
  <c r="I5" i="2"/>
  <c r="I4" i="2"/>
  <c r="L10" i="2" s="1"/>
  <c r="I3" i="2"/>
  <c r="L8" i="2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3" i="1"/>
  <c r="K9" i="1" l="1"/>
  <c r="K8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L9" i="2"/>
  <c r="L9" i="3"/>
  <c r="L8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4"/>
  <c r="L8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5"/>
  <c r="L8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11" i="2"/>
  <c r="L13" i="2"/>
  <c r="Q2" i="8" l="1" a="1"/>
  <c r="Q2" i="8" s="1"/>
  <c r="P2" i="8" a="1"/>
  <c r="P2" i="8" s="1"/>
  <c r="R2" i="8" a="1"/>
  <c r="R2" i="8" s="1"/>
  <c r="O2" i="8" a="1"/>
  <c r="O2" i="8" s="1"/>
  <c r="V2" i="3"/>
  <c r="V5" i="3" a="1"/>
  <c r="V5" i="3" s="1"/>
  <c r="V5" i="5" a="1"/>
  <c r="V5" i="5" s="1"/>
  <c r="V2" i="5"/>
  <c r="D3" i="7" s="1" a="1"/>
  <c r="D3" i="7" s="1"/>
  <c r="V5" i="4" a="1"/>
  <c r="V5" i="4" s="1"/>
  <c r="V2" i="4"/>
  <c r="C3" i="7" s="1" a="1"/>
  <c r="C3" i="7" s="1"/>
  <c r="W5" i="2" a="1"/>
  <c r="W5" i="2" s="1"/>
  <c r="W2" i="2"/>
  <c r="B3" i="7" s="1" a="1"/>
  <c r="B3" i="7" s="1"/>
  <c r="E3" i="7" l="1" a="1"/>
  <c r="E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<sst xmlns="http://schemas.openxmlformats.org/spreadsheetml/2006/main" count="625" uniqueCount="45">
  <si>
    <t>Ticker</t>
  </si>
  <si>
    <t>Date</t>
  </si>
  <si>
    <t>Open</t>
  </si>
  <si>
    <t>High</t>
  </si>
  <si>
    <t>Low</t>
  </si>
  <si>
    <t>Close</t>
  </si>
  <si>
    <t>Adj Close</t>
  </si>
  <si>
    <t>Volume</t>
  </si>
  <si>
    <t>Daily return(%)</t>
  </si>
  <si>
    <t>7 Day Moving Avg</t>
  </si>
  <si>
    <t>Volatility</t>
  </si>
  <si>
    <t>AAPL</t>
  </si>
  <si>
    <t>GOOG</t>
  </si>
  <si>
    <t>MSFT</t>
  </si>
  <si>
    <t>NFLX</t>
  </si>
  <si>
    <t>Zero line</t>
  </si>
  <si>
    <t>Avg Daily Return</t>
  </si>
  <si>
    <t>Avg Volatility</t>
  </si>
  <si>
    <t>Highest Return</t>
  </si>
  <si>
    <t>Lowest Return</t>
  </si>
  <si>
    <t>Recent Volatility</t>
  </si>
  <si>
    <t>KPI</t>
  </si>
  <si>
    <t>Apple</t>
  </si>
  <si>
    <t>Microsoft</t>
  </si>
  <si>
    <t>Netflix</t>
  </si>
  <si>
    <t>Google</t>
  </si>
  <si>
    <t>Apple_AdjClose</t>
  </si>
  <si>
    <t>MSFT_AdjClose</t>
  </si>
  <si>
    <t>NFLX_AdjClose</t>
  </si>
  <si>
    <t>GOOG_AdjClose</t>
  </si>
  <si>
    <t>Apple_Return</t>
  </si>
  <si>
    <t>MSFT_Return</t>
  </si>
  <si>
    <t>NFLX_Return</t>
  </si>
  <si>
    <t>GOOG_Return</t>
  </si>
  <si>
    <t>Zero Line</t>
  </si>
  <si>
    <t>Apple_7DMA</t>
  </si>
  <si>
    <t>MSFT_7DMA</t>
  </si>
  <si>
    <t>NFLX_7DMA</t>
  </si>
  <si>
    <t>GOOG_7DMA</t>
  </si>
  <si>
    <t>Apple_Vol</t>
  </si>
  <si>
    <t>MSFT_Vol</t>
  </si>
  <si>
    <t>NFLX_Vol</t>
  </si>
  <si>
    <t>GOOG_Vol</t>
  </si>
  <si>
    <t>Stock Market Analysis Dashboard — Apple, Microsoft, Netflix &amp; Google (Feb–May 2023)</t>
  </si>
  <si>
    <t xml:space="preserve">Tools: Excel copilot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</si>
</sst>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9.5"/>
      <color theme="1"/>
      <name val="Calibri"/>
      <family val="2"/>
    </font>
    <font>
      <b/>
      <sz val="18"/>
      <color theme="3"/>
      <name val="Calibri"/>
      <family val="2"/>
    </font>
    <font>
      <i/>
      <sz val="11"/>
      <color theme="1" tint="0.499984740745262"/>
      <name val="Calibri"/>
      <family val="2"/>
    </font>
    <font>
      <sz val="11"/>
      <color theme="1" tint="0.49998474074526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 tint="0.499984740745262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3E1E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/>
      <right/>
      <top style="medium">
        <color theme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theme="1" tint="0.499984740745262"/>
      </top>
      <bottom/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9847407452621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/>
      <bottom style="thin">
        <color theme="1" tint="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/>
      <bottom style="medium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42" applyNumberFormat="1" applyFont="1"/>
    <xf numFmtId="10" fontId="0" fillId="0" borderId="0" xfId="0" applyNumberFormat="1"/>
    <xf numFmtId="10" fontId="0" fillId="0" borderId="0" xfId="0" applyNumberFormat="1" applyAlignment="1">
      <alignment wrapText="1"/>
    </xf>
    <xf numFmtId="0" fontId="0" fillId="0" borderId="0" xfId="42" applyNumberFormat="1" applyFont="1"/>
    <xf numFmtId="0" fontId="18" fillId="0" borderId="0" xfId="0" applyFont="1"/>
    <xf numFmtId="0" fontId="0" fillId="34" borderId="0" xfId="0" applyFill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/>
    <xf numFmtId="0" fontId="0" fillId="0" borderId="0" xfId="0" applyBorder="1" applyAlignment="1">
      <alignment horizontal="right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2" fontId="0" fillId="0" borderId="0" xfId="0" applyNumberFormat="1"/>
    <xf numFmtId="0" fontId="0" fillId="0" borderId="0" xfId="0" applyNumberFormat="1"/>
    <xf numFmtId="0" fontId="0" fillId="0" borderId="0" xfId="0" applyBorder="1"/>
    <xf numFmtId="2" fontId="21" fillId="0" borderId="0" xfId="0" applyNumberFormat="1" applyFont="1" applyFill="1"/>
    <xf numFmtId="2" fontId="0" fillId="0" borderId="0" xfId="0" applyNumberFormat="1" applyFill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2" fontId="24" fillId="35" borderId="11" xfId="0" applyNumberFormat="1" applyFont="1" applyFill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2" fontId="23" fillId="0" borderId="27" xfId="0" applyNumberFormat="1" applyFont="1" applyBorder="1" applyAlignment="1">
      <alignment horizontal="center" vertical="center"/>
    </xf>
    <xf numFmtId="2" fontId="24" fillId="35" borderId="13" xfId="0" applyNumberFormat="1" applyFont="1" applyFill="1" applyBorder="1" applyAlignment="1">
      <alignment horizontal="center" vertical="center"/>
    </xf>
    <xf numFmtId="2" fontId="24" fillId="35" borderId="0" xfId="0" applyNumberFormat="1" applyFont="1" applyFill="1" applyBorder="1" applyAlignment="1">
      <alignment horizontal="center" vertical="center"/>
    </xf>
    <xf numFmtId="2" fontId="23" fillId="0" borderId="29" xfId="0" applyNumberFormat="1" applyFont="1" applyBorder="1" applyAlignment="1">
      <alignment horizontal="center" vertical="center"/>
    </xf>
    <xf numFmtId="2" fontId="24" fillId="35" borderId="31" xfId="0" applyNumberFormat="1" applyFont="1" applyFill="1" applyBorder="1" applyAlignment="1">
      <alignment horizontal="center" vertical="center"/>
    </xf>
    <xf numFmtId="2" fontId="24" fillId="35" borderId="32" xfId="0" applyNumberFormat="1" applyFont="1" applyFill="1" applyBorder="1" applyAlignment="1">
      <alignment horizontal="center" vertical="center"/>
    </xf>
    <xf numFmtId="2" fontId="22" fillId="0" borderId="33" xfId="0" applyNumberFormat="1" applyFont="1" applyBorder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E3E1E1"/>
      <color rgb="FF444444"/>
      <color rgb="FFC8C8C8"/>
      <color rgb="FF7F7F7F"/>
      <color rgb="FFD4D4D4"/>
      <color rgb="FFC00000"/>
      <color rgb="FFFFCA2B"/>
      <color rgb="FF70AD47"/>
      <color rgb="FFA6A6A6"/>
      <color rgb="FFFFCB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– Stock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Apple!$G$1</c:f>
              <c:strCache>
                <c:ptCount val="1"/>
                <c:pt idx="0">
                  <c:v>Adj Close</c:v>
                </c:pt>
              </c:strCache>
            </c:strRef>
          </c:tx>
          <c:spPr>
            <a:ln w="19050" cap="flat" cmpd="sng" algn="ctr">
              <a:solidFill>
                <a:srgbClr val="B8CCE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Apple!$B$2:$B$63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Apple!$G$2:$G$63</c:f>
              <c:numCache>
                <c:formatCode>General</c:formatCode>
                <c:ptCount val="62"/>
                <c:pt idx="0">
                  <c:v>154.41423034667901</c:v>
                </c:pt>
                <c:pt idx="1">
                  <c:v>151.68840026855401</c:v>
                </c:pt>
                <c:pt idx="2">
                  <c:v>150.63999938964801</c:v>
                </c:pt>
                <c:pt idx="3">
                  <c:v>151.009994506835</c:v>
                </c:pt>
                <c:pt idx="4">
                  <c:v>153.850006103515</c:v>
                </c:pt>
                <c:pt idx="5">
                  <c:v>153.19999694824199</c:v>
                </c:pt>
                <c:pt idx="6">
                  <c:v>155.33000183105401</c:v>
                </c:pt>
                <c:pt idx="7">
                  <c:v>153.71000671386699</c:v>
                </c:pt>
                <c:pt idx="8">
                  <c:v>152.55000305175699</c:v>
                </c:pt>
                <c:pt idx="9">
                  <c:v>148.47999572753901</c:v>
                </c:pt>
                <c:pt idx="10">
                  <c:v>148.91000366210901</c:v>
                </c:pt>
                <c:pt idx="11">
                  <c:v>149.39999389648401</c:v>
                </c:pt>
                <c:pt idx="12">
                  <c:v>146.71000671386699</c:v>
                </c:pt>
                <c:pt idx="13">
                  <c:v>147.919998168945</c:v>
                </c:pt>
                <c:pt idx="14">
                  <c:v>147.41000366210901</c:v>
                </c:pt>
                <c:pt idx="15">
                  <c:v>145.30999755859301</c:v>
                </c:pt>
                <c:pt idx="16">
                  <c:v>145.91000366210901</c:v>
                </c:pt>
                <c:pt idx="17">
                  <c:v>151.02999877929599</c:v>
                </c:pt>
                <c:pt idx="18">
                  <c:v>153.83000183105401</c:v>
                </c:pt>
                <c:pt idx="19">
                  <c:v>151.600006103515</c:v>
                </c:pt>
                <c:pt idx="20">
                  <c:v>152.86999511718699</c:v>
                </c:pt>
                <c:pt idx="21">
                  <c:v>150.58999633789</c:v>
                </c:pt>
                <c:pt idx="22">
                  <c:v>148.5</c:v>
                </c:pt>
                <c:pt idx="23">
                  <c:v>150.47000122070301</c:v>
                </c:pt>
                <c:pt idx="24">
                  <c:v>152.58999633789</c:v>
                </c:pt>
                <c:pt idx="25">
                  <c:v>152.99000549316401</c:v>
                </c:pt>
                <c:pt idx="26">
                  <c:v>155.850006103515</c:v>
                </c:pt>
                <c:pt idx="27">
                  <c:v>155</c:v>
                </c:pt>
                <c:pt idx="28">
                  <c:v>157.39999389648401</c:v>
                </c:pt>
                <c:pt idx="29">
                  <c:v>159.27999877929599</c:v>
                </c:pt>
                <c:pt idx="30">
                  <c:v>157.83000183105401</c:v>
                </c:pt>
                <c:pt idx="31">
                  <c:v>158.92999267578099</c:v>
                </c:pt>
                <c:pt idx="32">
                  <c:v>160.25</c:v>
                </c:pt>
                <c:pt idx="33">
                  <c:v>158.27999877929599</c:v>
                </c:pt>
                <c:pt idx="34">
                  <c:v>157.64999389648401</c:v>
                </c:pt>
                <c:pt idx="35">
                  <c:v>160.77000427246</c:v>
                </c:pt>
                <c:pt idx="36">
                  <c:v>162.36000061035099</c:v>
                </c:pt>
                <c:pt idx="37">
                  <c:v>164.89999389648401</c:v>
                </c:pt>
                <c:pt idx="38">
                  <c:v>166.169998168945</c:v>
                </c:pt>
                <c:pt idx="39">
                  <c:v>165.63000488281199</c:v>
                </c:pt>
                <c:pt idx="40">
                  <c:v>163.759994506835</c:v>
                </c:pt>
                <c:pt idx="41">
                  <c:v>164.66000366210901</c:v>
                </c:pt>
                <c:pt idx="42">
                  <c:v>162.02999877929599</c:v>
                </c:pt>
                <c:pt idx="43">
                  <c:v>160.80000305175699</c:v>
                </c:pt>
                <c:pt idx="44">
                  <c:v>160.100006103515</c:v>
                </c:pt>
                <c:pt idx="45">
                  <c:v>165.55999755859301</c:v>
                </c:pt>
                <c:pt idx="46">
                  <c:v>165.21000671386699</c:v>
                </c:pt>
                <c:pt idx="47">
                  <c:v>165.22999572753901</c:v>
                </c:pt>
                <c:pt idx="48">
                  <c:v>166.47000122070301</c:v>
                </c:pt>
                <c:pt idx="49">
                  <c:v>167.63000488281199</c:v>
                </c:pt>
                <c:pt idx="50">
                  <c:v>166.64999389648401</c:v>
                </c:pt>
                <c:pt idx="51">
                  <c:v>165.02000427246</c:v>
                </c:pt>
                <c:pt idx="52">
                  <c:v>165.33000183105401</c:v>
                </c:pt>
                <c:pt idx="53">
                  <c:v>163.77000427246</c:v>
                </c:pt>
                <c:pt idx="54">
                  <c:v>163.759994506835</c:v>
                </c:pt>
                <c:pt idx="55">
                  <c:v>168.41000366210901</c:v>
                </c:pt>
                <c:pt idx="56">
                  <c:v>169.67999267578099</c:v>
                </c:pt>
                <c:pt idx="57">
                  <c:v>169.58999633789</c:v>
                </c:pt>
                <c:pt idx="58">
                  <c:v>168.53999328613199</c:v>
                </c:pt>
                <c:pt idx="59">
                  <c:v>167.44999694824199</c:v>
                </c:pt>
                <c:pt idx="60">
                  <c:v>165.78999328613199</c:v>
                </c:pt>
                <c:pt idx="61">
                  <c:v>173.57000732421801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E-48CE-A7BF-D1E6F56C70F6}"/>
            </c:ext>
          </c:extLst>
        </c:ser>
        <c:ser>
          <c:idx val="1"/>
          <c:order val="1"/>
          <c:tx>
            <c:strRef>
              <c:f>Apple!$K$1</c:f>
              <c:strCache>
                <c:ptCount val="1"/>
                <c:pt idx="0">
                  <c:v>7 Day Moving Avg</c:v>
                </c:pt>
              </c:strCache>
            </c:strRef>
          </c:tx>
          <c:spPr>
            <a:ln w="28575" cap="flat" cmpd="sng" algn="ctr">
              <a:solidFill>
                <a:srgbClr val="C00000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Apple!$B$2:$B$63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Apple!$K$2:$K$63</c:f>
              <c:numCache>
                <c:formatCode>General</c:formatCode>
                <c:ptCount val="62"/>
                <c:pt idx="6">
                  <c:v>152.87608991350385</c:v>
                </c:pt>
                <c:pt idx="7">
                  <c:v>152.77548653738785</c:v>
                </c:pt>
                <c:pt idx="8">
                  <c:v>152.898572649274</c:v>
                </c:pt>
                <c:pt idx="9">
                  <c:v>152.59000069754413</c:v>
                </c:pt>
                <c:pt idx="10">
                  <c:v>152.29000200544041</c:v>
                </c:pt>
                <c:pt idx="11">
                  <c:v>151.65428597586455</c:v>
                </c:pt>
                <c:pt idx="12">
                  <c:v>150.727144513811</c:v>
                </c:pt>
                <c:pt idx="13">
                  <c:v>149.66857256208115</c:v>
                </c:pt>
                <c:pt idx="14">
                  <c:v>148.76857212611571</c:v>
                </c:pt>
                <c:pt idx="15">
                  <c:v>147.73428562709228</c:v>
                </c:pt>
                <c:pt idx="16">
                  <c:v>147.36714390345944</c:v>
                </c:pt>
                <c:pt idx="17">
                  <c:v>147.67000034877188</c:v>
                </c:pt>
                <c:pt idx="18">
                  <c:v>148.30285862513898</c:v>
                </c:pt>
                <c:pt idx="19">
                  <c:v>149.00142996651726</c:v>
                </c:pt>
                <c:pt idx="20">
                  <c:v>149.70857238769472</c:v>
                </c:pt>
                <c:pt idx="21">
                  <c:v>150.16285705566341</c:v>
                </c:pt>
                <c:pt idx="22">
                  <c:v>150.61857169015016</c:v>
                </c:pt>
                <c:pt idx="23">
                  <c:v>151.26999991280641</c:v>
                </c:pt>
                <c:pt idx="24">
                  <c:v>151.49285670689127</c:v>
                </c:pt>
                <c:pt idx="25">
                  <c:v>151.37285723004987</c:v>
                </c:pt>
                <c:pt idx="26">
                  <c:v>151.98000008719274</c:v>
                </c:pt>
                <c:pt idx="27">
                  <c:v>152.28428649902315</c:v>
                </c:pt>
                <c:pt idx="28">
                  <c:v>153.25714329310799</c:v>
                </c:pt>
                <c:pt idx="29">
                  <c:v>154.79714311872175</c:v>
                </c:pt>
                <c:pt idx="30">
                  <c:v>155.8485717773433</c:v>
                </c:pt>
                <c:pt idx="31">
                  <c:v>156.75428553989914</c:v>
                </c:pt>
                <c:pt idx="32">
                  <c:v>157.79142761230429</c:v>
                </c:pt>
                <c:pt idx="33">
                  <c:v>158.13856942313015</c:v>
                </c:pt>
                <c:pt idx="34">
                  <c:v>158.51713997977072</c:v>
                </c:pt>
                <c:pt idx="35">
                  <c:v>158.99857003348157</c:v>
                </c:pt>
                <c:pt idx="36">
                  <c:v>159.43857029506086</c:v>
                </c:pt>
                <c:pt idx="37">
                  <c:v>160.44856916155086</c:v>
                </c:pt>
                <c:pt idx="38">
                  <c:v>161.4828556605743</c:v>
                </c:pt>
                <c:pt idx="39">
                  <c:v>162.2514277866903</c:v>
                </c:pt>
                <c:pt idx="40">
                  <c:v>163.03428431919585</c:v>
                </c:pt>
                <c:pt idx="41">
                  <c:v>164.03571428571371</c:v>
                </c:pt>
                <c:pt idx="42">
                  <c:v>164.21571350097602</c:v>
                </c:pt>
                <c:pt idx="43">
                  <c:v>163.99285670689113</c:v>
                </c:pt>
                <c:pt idx="44">
                  <c:v>163.30714416503844</c:v>
                </c:pt>
                <c:pt idx="45">
                  <c:v>163.22000122070244</c:v>
                </c:pt>
                <c:pt idx="46">
                  <c:v>163.16000148228173</c:v>
                </c:pt>
                <c:pt idx="47">
                  <c:v>163.37000165666799</c:v>
                </c:pt>
                <c:pt idx="48">
                  <c:v>163.62857273646711</c:v>
                </c:pt>
                <c:pt idx="49">
                  <c:v>164.42857360839798</c:v>
                </c:pt>
                <c:pt idx="50">
                  <c:v>165.26428658621612</c:v>
                </c:pt>
                <c:pt idx="51">
                  <c:v>165.967143467494</c:v>
                </c:pt>
                <c:pt idx="52">
                  <c:v>165.93428693498845</c:v>
                </c:pt>
                <c:pt idx="53">
                  <c:v>165.72857230050172</c:v>
                </c:pt>
                <c:pt idx="54">
                  <c:v>165.51857212611543</c:v>
                </c:pt>
                <c:pt idx="55">
                  <c:v>165.79571533203057</c:v>
                </c:pt>
                <c:pt idx="56">
                  <c:v>166.08857073102612</c:v>
                </c:pt>
                <c:pt idx="57">
                  <c:v>166.50857107979846</c:v>
                </c:pt>
                <c:pt idx="58">
                  <c:v>167.01142665318017</c:v>
                </c:pt>
                <c:pt idx="59">
                  <c:v>167.31428309849272</c:v>
                </c:pt>
                <c:pt idx="60">
                  <c:v>167.60285295758871</c:v>
                </c:pt>
                <c:pt idx="61">
                  <c:v>169.00428336007198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E-48CE-A7BF-D1E6F56C7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573512"/>
        <c:axId val="1487578120"/>
      </c:lineChart>
      <c:dateAx>
        <c:axId val="148757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8CCE4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8120"/>
        <c:crosses val="autoZero"/>
        <c:auto val="1"/>
        <c:lblOffset val="100"/>
        <c:baseTimeUnit val="days"/>
      </c:dateAx>
      <c:valAx>
        <c:axId val="1487578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(USD)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8517683491002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A6A6A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Apple-Daily return % Trend</a:t>
            </a:r>
          </a:p>
        </c:rich>
      </c:tx>
      <c:layout>
        <c:manualLayout>
          <c:xMode val="edge"/>
          <c:yMode val="edge"/>
          <c:x val="0.35236798102939837"/>
          <c:y val="7.2607260726072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Apple!$I$1</c:f>
              <c:strCache>
                <c:ptCount val="1"/>
                <c:pt idx="0">
                  <c:v>Daily return(%)</c:v>
                </c:pt>
              </c:strCache>
            </c:strRef>
          </c:tx>
          <c:spPr>
            <a:ln w="19050" cap="rnd">
              <a:solidFill>
                <a:srgbClr val="36609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Apple!$B$2:$B$63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Apple!$I$2:$I$63</c:f>
              <c:numCache>
                <c:formatCode>0.00%</c:formatCode>
                <c:ptCount val="62"/>
                <c:pt idx="1">
                  <c:v>-1.7652712913862723E-2</c:v>
                </c:pt>
                <c:pt idx="2">
                  <c:v>-6.9115428539682222E-3</c:v>
                </c:pt>
                <c:pt idx="3">
                  <c:v>2.4561545319046196E-3</c:v>
                </c:pt>
                <c:pt idx="4">
                  <c:v>1.8806779021182329E-2</c:v>
                </c:pt>
                <c:pt idx="5">
                  <c:v>-4.224953717815727E-3</c:v>
                </c:pt>
                <c:pt idx="6">
                  <c:v>1.3903426404973329E-2</c:v>
                </c:pt>
                <c:pt idx="7">
                  <c:v>-1.042937679836653E-2</c:v>
                </c:pt>
                <c:pt idx="8">
                  <c:v>-7.5467023059165861E-3</c:v>
                </c:pt>
                <c:pt idx="9">
                  <c:v>-2.667982460044338E-2</c:v>
                </c:pt>
                <c:pt idx="10">
                  <c:v>2.8960664530126579E-3</c:v>
                </c:pt>
                <c:pt idx="11">
                  <c:v>3.2905125399556034E-3</c:v>
                </c:pt>
                <c:pt idx="12">
                  <c:v>-1.8005269695531956E-2</c:v>
                </c:pt>
                <c:pt idx="13">
                  <c:v>8.2475045989049978E-3</c:v>
                </c:pt>
                <c:pt idx="14">
                  <c:v>-3.447772533457627E-3</c:v>
                </c:pt>
                <c:pt idx="15">
                  <c:v>-1.4246021649450546E-2</c:v>
                </c:pt>
                <c:pt idx="16">
                  <c:v>4.129145369189402E-3</c:v>
                </c:pt>
                <c:pt idx="17">
                  <c:v>3.5090089703812222E-2</c:v>
                </c:pt>
                <c:pt idx="18">
                  <c:v>1.8539383396604103E-2</c:v>
                </c:pt>
                <c:pt idx="19">
                  <c:v>-1.4496494188358189E-2</c:v>
                </c:pt>
                <c:pt idx="20">
                  <c:v>8.3772359006688557E-3</c:v>
                </c:pt>
                <c:pt idx="21">
                  <c:v>-1.491462583974823E-2</c:v>
                </c:pt>
                <c:pt idx="22">
                  <c:v>-1.3878719627567593E-2</c:v>
                </c:pt>
                <c:pt idx="23">
                  <c:v>1.3266001486215595E-2</c:v>
                </c:pt>
                <c:pt idx="24">
                  <c:v>1.4089154648689428E-2</c:v>
                </c:pt>
                <c:pt idx="25">
                  <c:v>2.6214638238029053E-3</c:v>
                </c:pt>
                <c:pt idx="26">
                  <c:v>1.869403560795857E-2</c:v>
                </c:pt>
                <c:pt idx="27">
                  <c:v>-5.4540010922452531E-3</c:v>
                </c:pt>
                <c:pt idx="28">
                  <c:v>1.5483831590219488E-2</c:v>
                </c:pt>
                <c:pt idx="29">
                  <c:v>1.1944122971493831E-2</c:v>
                </c:pt>
                <c:pt idx="30">
                  <c:v>-9.103446505239865E-3</c:v>
                </c:pt>
                <c:pt idx="31">
                  <c:v>6.9694660835426525E-3</c:v>
                </c:pt>
                <c:pt idx="32">
                  <c:v>8.3055897882775565E-3</c:v>
                </c:pt>
                <c:pt idx="33">
                  <c:v>-1.2293299349167008E-2</c:v>
                </c:pt>
                <c:pt idx="34">
                  <c:v>-3.980318976944508E-3</c:v>
                </c:pt>
                <c:pt idx="35">
                  <c:v>1.979074212983889E-2</c:v>
                </c:pt>
                <c:pt idx="36">
                  <c:v>9.8898817916082127E-3</c:v>
                </c:pt>
                <c:pt idx="37">
                  <c:v>1.5644205941023337E-2</c:v>
                </c:pt>
                <c:pt idx="38">
                  <c:v>7.7016635504441044E-3</c:v>
                </c:pt>
                <c:pt idx="39">
                  <c:v>-3.2496436906980231E-3</c:v>
                </c:pt>
                <c:pt idx="40">
                  <c:v>-1.1290287513425312E-2</c:v>
                </c:pt>
                <c:pt idx="41">
                  <c:v>5.4959036728376987E-3</c:v>
                </c:pt>
                <c:pt idx="42">
                  <c:v>-1.5972335869795851E-2</c:v>
                </c:pt>
                <c:pt idx="43">
                  <c:v>-7.5911605061135257E-3</c:v>
                </c:pt>
                <c:pt idx="44">
                  <c:v>-4.3532147696333512E-3</c:v>
                </c:pt>
                <c:pt idx="45">
                  <c:v>3.4103630524209727E-2</c:v>
                </c:pt>
                <c:pt idx="46">
                  <c:v>-2.1139819394002668E-3</c:v>
                </c:pt>
                <c:pt idx="47">
                  <c:v>1.2099154324607397E-4</c:v>
                </c:pt>
                <c:pt idx="48">
                  <c:v>7.5047238711349884E-3</c:v>
                </c:pt>
                <c:pt idx="49">
                  <c:v>6.9682444500680507E-3</c:v>
                </c:pt>
                <c:pt idx="50">
                  <c:v>-5.8462742813442103E-3</c:v>
                </c:pt>
                <c:pt idx="51">
                  <c:v>-9.7809161939512723E-3</c:v>
                </c:pt>
                <c:pt idx="52">
                  <c:v>1.8785453312810674E-3</c:v>
                </c:pt>
                <c:pt idx="53">
                  <c:v>-9.4356592349652546E-3</c:v>
                </c:pt>
                <c:pt idx="54">
                  <c:v>-6.1120872955178207E-5</c:v>
                </c:pt>
                <c:pt idx="55">
                  <c:v>2.8395269365253384E-2</c:v>
                </c:pt>
                <c:pt idx="56">
                  <c:v>7.5410544864071838E-3</c:v>
                </c:pt>
                <c:pt idx="57">
                  <c:v>-5.303886243261946E-4</c:v>
                </c:pt>
                <c:pt idx="58">
                  <c:v>-6.1914209235902629E-3</c:v>
                </c:pt>
                <c:pt idx="59">
                  <c:v>-6.4672859932983773E-3</c:v>
                </c:pt>
                <c:pt idx="60">
                  <c:v>-9.913429037703092E-3</c:v>
                </c:pt>
                <c:pt idx="61">
                  <c:v>4.6926921727167947E-2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A-473B-A747-4F1505B446F0}"/>
            </c:ext>
          </c:extLst>
        </c:ser>
        <c:ser>
          <c:idx val="1"/>
          <c:order val="1"/>
          <c:tx>
            <c:strRef>
              <c:f>{"Zero line"}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40404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Apple!$B$2:$B$63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Apple!J2:J63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C-4E35-A887-39B6E5D82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75208"/>
        <c:axId val="687510024"/>
      </c:lineChart>
      <c:dateAx>
        <c:axId val="687475208"/>
        <c:scaling>
          <c:orientation val="minMax"/>
        </c:scaling>
        <c:delete val="0"/>
        <c:axPos val="b"/>
        <c:numFmt formatCode="mm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10024"/>
        <c:crosses val="autoZero"/>
        <c:auto val="1"/>
        <c:lblOffset val="100"/>
        <c:baseTimeUnit val="days"/>
      </c:dateAx>
      <c:valAx>
        <c:axId val="687510024"/>
        <c:scaling>
          <c:orientation val="minMax"/>
          <c:max val="0.06"/>
        </c:scaling>
        <c:delete val="0"/>
        <c:axPos val="l"/>
        <c:numFmt formatCode="0.00%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538DD5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7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11492158521504"/>
          <c:y val="0.82812445319335082"/>
          <c:w val="0.4964313138543632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– 7-Day Rolling Volatility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Apple!$L$1</c:f>
              <c:strCache>
                <c:ptCount val="1"/>
                <c:pt idx="0">
                  <c:v>Volatility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Apple!$B$2:$B$63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Apple!$L$2:$L$63</c:f>
              <c:numCache>
                <c:formatCode>General</c:formatCode>
                <c:ptCount val="62"/>
                <c:pt idx="6">
                  <c:v>1.3590384996527764E-2</c:v>
                </c:pt>
                <c:pt idx="7">
                  <c:v>1.3144688021055066E-2</c:v>
                </c:pt>
                <c:pt idx="8">
                  <c:v>1.1395479371605063E-2</c:v>
                </c:pt>
                <c:pt idx="9">
                  <c:v>1.5392374488541652E-2</c:v>
                </c:pt>
                <c:pt idx="10">
                  <c:v>1.5414288702582752E-2</c:v>
                </c:pt>
                <c:pt idx="11">
                  <c:v>1.2841934332759406E-2</c:v>
                </c:pt>
                <c:pt idx="12">
                  <c:v>1.3876519210307216E-2</c:v>
                </c:pt>
                <c:pt idx="13">
                  <c:v>1.2627343351045064E-2</c:v>
                </c:pt>
                <c:pt idx="14">
                  <c:v>1.2576774099380567E-2</c:v>
                </c:pt>
                <c:pt idx="15">
                  <c:v>1.2972334156295421E-2</c:v>
                </c:pt>
                <c:pt idx="16">
                  <c:v>1.0011357988082621E-2</c:v>
                </c:pt>
                <c:pt idx="17">
                  <c:v>1.7482592901997572E-2</c:v>
                </c:pt>
                <c:pt idx="18">
                  <c:v>1.8564767154492557E-2</c:v>
                </c:pt>
                <c:pt idx="19">
                  <c:v>1.7896555766078483E-2</c:v>
                </c:pt>
                <c:pt idx="20">
                  <c:v>1.7900750328763686E-2</c:v>
                </c:pt>
                <c:pt idx="21">
                  <c:v>1.925967267444658E-2</c:v>
                </c:pt>
                <c:pt idx="22">
                  <c:v>1.9204606255343516E-2</c:v>
                </c:pt>
                <c:pt idx="23">
                  <c:v>1.9580058428782531E-2</c:v>
                </c:pt>
                <c:pt idx="24">
                  <c:v>1.5255393422074532E-2</c:v>
                </c:pt>
                <c:pt idx="25">
                  <c:v>1.3374564989588122E-2</c:v>
                </c:pt>
                <c:pt idx="26">
                  <c:v>1.3552536623425199E-2</c:v>
                </c:pt>
                <c:pt idx="27">
                  <c:v>1.3819806617792734E-2</c:v>
                </c:pt>
                <c:pt idx="28">
                  <c:v>1.2287835875980063E-2</c:v>
                </c:pt>
                <c:pt idx="29">
                  <c:v>8.4659692828250154E-3</c:v>
                </c:pt>
                <c:pt idx="30">
                  <c:v>1.0931193808779284E-2</c:v>
                </c:pt>
                <c:pt idx="31">
                  <c:v>1.0471985791892215E-2</c:v>
                </c:pt>
                <c:pt idx="32">
                  <c:v>1.0397372157189338E-2</c:v>
                </c:pt>
                <c:pt idx="33">
                  <c:v>1.1013720903976129E-2</c:v>
                </c:pt>
                <c:pt idx="34">
                  <c:v>1.0854524586203031E-2</c:v>
                </c:pt>
                <c:pt idx="35">
                  <c:v>1.1796032956233347E-2</c:v>
                </c:pt>
                <c:pt idx="36">
                  <c:v>1.1562295708643078E-2</c:v>
                </c:pt>
                <c:pt idx="37">
                  <c:v>1.1090991535945819E-2</c:v>
                </c:pt>
                <c:pt idx="38">
                  <c:v>1.1101449701173055E-2</c:v>
                </c:pt>
                <c:pt idx="39">
                  <c:v>1.1624084264247544E-2</c:v>
                </c:pt>
                <c:pt idx="40">
                  <c:v>1.1382124084132124E-2</c:v>
                </c:pt>
                <c:pt idx="41">
                  <c:v>1.0688192291254893E-2</c:v>
                </c:pt>
                <c:pt idx="42">
                  <c:v>1.1658806531046647E-2</c:v>
                </c:pt>
                <c:pt idx="43">
                  <c:v>1.1348859933379142E-2</c:v>
                </c:pt>
                <c:pt idx="44">
                  <c:v>8.5336978746670244E-3</c:v>
                </c:pt>
                <c:pt idx="45">
                  <c:v>1.6642410210738479E-2</c:v>
                </c:pt>
                <c:pt idx="46">
                  <c:v>1.6615607391913711E-2</c:v>
                </c:pt>
                <c:pt idx="47">
                  <c:v>1.5895620860446925E-2</c:v>
                </c:pt>
                <c:pt idx="48">
                  <c:v>1.6000013294150586E-2</c:v>
                </c:pt>
                <c:pt idx="49">
                  <c:v>1.4009423949048605E-2</c:v>
                </c:pt>
                <c:pt idx="50">
                  <c:v>1.3762467127764787E-2</c:v>
                </c:pt>
                <c:pt idx="51">
                  <c:v>1.4522188516153431E-2</c:v>
                </c:pt>
                <c:pt idx="52">
                  <c:v>6.3574774332888773E-3</c:v>
                </c:pt>
                <c:pt idx="53">
                  <c:v>7.2658538117277146E-3</c:v>
                </c:pt>
                <c:pt idx="54">
                  <c:v>7.2605460631784569E-3</c:v>
                </c:pt>
                <c:pt idx="55">
                  <c:v>1.3268251802406967E-2</c:v>
                </c:pt>
                <c:pt idx="56">
                  <c:v>1.3307641838777973E-2</c:v>
                </c:pt>
                <c:pt idx="57">
                  <c:v>1.294443368772343E-2</c:v>
                </c:pt>
                <c:pt idx="58">
                  <c:v>1.2434559996525802E-2</c:v>
                </c:pt>
                <c:pt idx="59">
                  <c:v>1.2958606955600955E-2</c:v>
                </c:pt>
                <c:pt idx="60">
                  <c:v>1.302928449989193E-2</c:v>
                </c:pt>
                <c:pt idx="61">
                  <c:v>2.1345646350231808E-2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F-470A-9CD3-D0B0DECB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07048"/>
        <c:axId val="2098020872"/>
      </c:lineChart>
      <c:dateAx>
        <c:axId val="209800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27712160979877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20872"/>
        <c:crosses val="autoZero"/>
        <c:auto val="1"/>
        <c:lblOffset val="100"/>
        <c:baseTimeUnit val="days"/>
      </c:dateAx>
      <c:valAx>
        <c:axId val="2098020872"/>
        <c:scaling>
          <c:orientation val="minMax"/>
          <c:max val="0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%</a:t>
                </a:r>
              </a:p>
            </c:rich>
          </c:tx>
          <c:layout>
            <c:manualLayout>
              <c:xMode val="edge"/>
              <c:yMode val="edge"/>
              <c:x val="1.8055555555555554E-2"/>
              <c:y val="0.30755504520268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0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Microsoft– 7 Day Rolling Volatility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msft!$L$1</c:f>
              <c:strCache>
                <c:ptCount val="1"/>
                <c:pt idx="0">
                  <c:v>Volatility</c:v>
                </c:pt>
              </c:strCache>
            </c:strRef>
          </c:tx>
          <c:spPr>
            <a:ln w="19050" cap="rnd">
              <a:solidFill>
                <a:srgbClr val="8AE03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msft!$B$2:$B$63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msft!$L$2:$L$63</c:f>
              <c:numCache>
                <c:formatCode>General</c:formatCode>
                <c:ptCount val="62"/>
                <c:pt idx="6">
                  <c:v>1.538679940498794E-2</c:v>
                </c:pt>
                <c:pt idx="7">
                  <c:v>1.7639391010519152E-2</c:v>
                </c:pt>
                <c:pt idx="8">
                  <c:v>1.8338208550973609E-2</c:v>
                </c:pt>
                <c:pt idx="9">
                  <c:v>1.9270779635546624E-2</c:v>
                </c:pt>
                <c:pt idx="10">
                  <c:v>1.9215581946100253E-2</c:v>
                </c:pt>
                <c:pt idx="11">
                  <c:v>1.3806768528616287E-2</c:v>
                </c:pt>
                <c:pt idx="12">
                  <c:v>1.3512344678736613E-2</c:v>
                </c:pt>
                <c:pt idx="13">
                  <c:v>1.4777011969248497E-2</c:v>
                </c:pt>
                <c:pt idx="14">
                  <c:v>1.3051482083507615E-2</c:v>
                </c:pt>
                <c:pt idx="15">
                  <c:v>1.2770791375001166E-2</c:v>
                </c:pt>
                <c:pt idx="16">
                  <c:v>1.4305739722895431E-2</c:v>
                </c:pt>
                <c:pt idx="17">
                  <c:v>1.5563540893038429E-2</c:v>
                </c:pt>
                <c:pt idx="18">
                  <c:v>1.4985506221733766E-2</c:v>
                </c:pt>
                <c:pt idx="19">
                  <c:v>1.2507498724417291E-2</c:v>
                </c:pt>
                <c:pt idx="20">
                  <c:v>1.2615788952817668E-2</c:v>
                </c:pt>
                <c:pt idx="21">
                  <c:v>1.2814155047530904E-2</c:v>
                </c:pt>
                <c:pt idx="22">
                  <c:v>1.3235103448809089E-2</c:v>
                </c:pt>
                <c:pt idx="23">
                  <c:v>1.365623312418259E-2</c:v>
                </c:pt>
                <c:pt idx="24">
                  <c:v>1.5935392067722581E-2</c:v>
                </c:pt>
                <c:pt idx="25">
                  <c:v>1.6883718629991263E-2</c:v>
                </c:pt>
                <c:pt idx="26">
                  <c:v>1.9896027445959395E-2</c:v>
                </c:pt>
                <c:pt idx="27">
                  <c:v>1.8957518183948509E-2</c:v>
                </c:pt>
                <c:pt idx="28">
                  <c:v>2.3461822433199477E-2</c:v>
                </c:pt>
                <c:pt idx="29">
                  <c:v>2.0818043665997422E-2</c:v>
                </c:pt>
                <c:pt idx="30">
                  <c:v>2.1692787351349808E-2</c:v>
                </c:pt>
                <c:pt idx="31">
                  <c:v>2.0907507778324154E-2</c:v>
                </c:pt>
                <c:pt idx="32">
                  <c:v>2.0582773188279429E-2</c:v>
                </c:pt>
                <c:pt idx="33">
                  <c:v>1.624920158490676E-2</c:v>
                </c:pt>
                <c:pt idx="34">
                  <c:v>1.5467265861885345E-2</c:v>
                </c:pt>
                <c:pt idx="35">
                  <c:v>1.3139711437342627E-2</c:v>
                </c:pt>
                <c:pt idx="36">
                  <c:v>1.3512092638463811E-2</c:v>
                </c:pt>
                <c:pt idx="37">
                  <c:v>1.2985848136526205E-2</c:v>
                </c:pt>
                <c:pt idx="38">
                  <c:v>1.2554219781167103E-2</c:v>
                </c:pt>
                <c:pt idx="39">
                  <c:v>1.2412800100947701E-2</c:v>
                </c:pt>
                <c:pt idx="40">
                  <c:v>1.1264424617797739E-2</c:v>
                </c:pt>
                <c:pt idx="41">
                  <c:v>1.3072762950839881E-2</c:v>
                </c:pt>
                <c:pt idx="42">
                  <c:v>1.3291484633092912E-2</c:v>
                </c:pt>
                <c:pt idx="43">
                  <c:v>1.610856521515729E-2</c:v>
                </c:pt>
                <c:pt idx="44">
                  <c:v>1.4736494037185383E-2</c:v>
                </c:pt>
                <c:pt idx="45">
                  <c:v>1.7388086452424751E-2</c:v>
                </c:pt>
                <c:pt idx="46">
                  <c:v>1.82124883084307E-2</c:v>
                </c:pt>
                <c:pt idx="47">
                  <c:v>1.7984514309805834E-2</c:v>
                </c:pt>
                <c:pt idx="48">
                  <c:v>1.4800915475512294E-2</c:v>
                </c:pt>
                <c:pt idx="49">
                  <c:v>1.4558681037233812E-2</c:v>
                </c:pt>
                <c:pt idx="50">
                  <c:v>1.1577969011745079E-2</c:v>
                </c:pt>
                <c:pt idx="51">
                  <c:v>1.1623775852688287E-2</c:v>
                </c:pt>
                <c:pt idx="52">
                  <c:v>8.1864102351457795E-3</c:v>
                </c:pt>
                <c:pt idx="53">
                  <c:v>1.0450458059780461E-2</c:v>
                </c:pt>
                <c:pt idx="54">
                  <c:v>3.1430197530344393E-2</c:v>
                </c:pt>
                <c:pt idx="55">
                  <c:v>3.3033033165613901E-2</c:v>
                </c:pt>
                <c:pt idx="56">
                  <c:v>3.2844600902689078E-2</c:v>
                </c:pt>
                <c:pt idx="57">
                  <c:v>3.2627623925766146E-2</c:v>
                </c:pt>
                <c:pt idx="58">
                  <c:v>3.2587226828720582E-2</c:v>
                </c:pt>
                <c:pt idx="59">
                  <c:v>3.1513153216591101E-2</c:v>
                </c:pt>
                <c:pt idx="60">
                  <c:v>2.819863759200484E-2</c:v>
                </c:pt>
                <c:pt idx="61">
                  <c:v>1.330923747239068E-2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E-44E2-B1F2-E3595713A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07048"/>
        <c:axId val="2098020872"/>
      </c:lineChart>
      <c:dateAx>
        <c:axId val="209800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27712160979877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20872"/>
        <c:crosses val="autoZero"/>
        <c:auto val="1"/>
        <c:lblOffset val="100"/>
        <c:baseTimeUnit val="days"/>
      </c:dateAx>
      <c:valAx>
        <c:axId val="2098020872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%</a:t>
                </a:r>
              </a:p>
            </c:rich>
          </c:tx>
          <c:layout>
            <c:manualLayout>
              <c:xMode val="edge"/>
              <c:yMode val="edge"/>
              <c:x val="1.8055555555555554E-2"/>
              <c:y val="0.30755504520268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0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Microsoft-Daily return % Trend</a:t>
            </a:r>
          </a:p>
        </c:rich>
      </c:tx>
      <c:layout>
        <c:manualLayout>
          <c:xMode val="edge"/>
          <c:yMode val="edge"/>
          <c:x val="0.28389944887462315"/>
          <c:y val="6.2068965517241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msft!$I$1</c:f>
              <c:strCache>
                <c:ptCount val="1"/>
                <c:pt idx="0">
                  <c:v>Daily return(%)</c:v>
                </c:pt>
              </c:strCache>
            </c:strRef>
          </c:tx>
          <c:spPr>
            <a:ln w="19050" cap="rnd">
              <a:solidFill>
                <a:srgbClr val="5F963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msft!$B$2:$B$63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msft!$I$2:$I$63</c:f>
              <c:numCache>
                <c:formatCode>0.00%</c:formatCode>
                <c:ptCount val="62"/>
                <c:pt idx="1">
                  <c:v>-3.1020521294315984E-3</c:v>
                </c:pt>
                <c:pt idx="2">
                  <c:v>-1.1659745649762132E-2</c:v>
                </c:pt>
                <c:pt idx="3">
                  <c:v>-1.9725607824208069E-3</c:v>
                </c:pt>
                <c:pt idx="4">
                  <c:v>3.1242874042076485E-2</c:v>
                </c:pt>
                <c:pt idx="5">
                  <c:v>3.1329210305217625E-3</c:v>
                </c:pt>
                <c:pt idx="6">
                  <c:v>-7.9929767647616279E-3</c:v>
                </c:pt>
                <c:pt idx="7">
                  <c:v>-2.6622654213366626E-2</c:v>
                </c:pt>
                <c:pt idx="8">
                  <c:v>-1.5601741114310341E-2</c:v>
                </c:pt>
                <c:pt idx="9">
                  <c:v>-2.0886613348216398E-2</c:v>
                </c:pt>
                <c:pt idx="10">
                  <c:v>-4.5909829837984528E-3</c:v>
                </c:pt>
                <c:pt idx="11">
                  <c:v>1.2961750375038994E-2</c:v>
                </c:pt>
                <c:pt idx="12">
                  <c:v>-2.1784366128995369E-2</c:v>
                </c:pt>
                <c:pt idx="13">
                  <c:v>3.7717776936112557E-3</c:v>
                </c:pt>
                <c:pt idx="14">
                  <c:v>-2.9581287269387913E-3</c:v>
                </c:pt>
                <c:pt idx="15">
                  <c:v>-1.2629275597826561E-2</c:v>
                </c:pt>
                <c:pt idx="16">
                  <c:v>1.9653210922659925E-2</c:v>
                </c:pt>
                <c:pt idx="17">
                  <c:v>1.664606214655362E-2</c:v>
                </c:pt>
                <c:pt idx="18">
                  <c:v>6.1890472506069827E-3</c:v>
                </c:pt>
                <c:pt idx="19">
                  <c:v>-1.058901885158714E-2</c:v>
                </c:pt>
                <c:pt idx="20">
                  <c:v>-1.7705959435329044E-3</c:v>
                </c:pt>
                <c:pt idx="21">
                  <c:v>-5.4394546339135985E-3</c:v>
                </c:pt>
                <c:pt idx="22">
                  <c:v>-1.4782858584555858E-2</c:v>
                </c:pt>
                <c:pt idx="23">
                  <c:v>2.144093450892659E-2</c:v>
                </c:pt>
                <c:pt idx="24">
                  <c:v>2.7055806653736081E-2</c:v>
                </c:pt>
                <c:pt idx="25">
                  <c:v>1.7830414295507913E-2</c:v>
                </c:pt>
                <c:pt idx="26">
                  <c:v>4.0536504169149001E-2</c:v>
                </c:pt>
                <c:pt idx="27">
                  <c:v>1.1694353099191312E-2</c:v>
                </c:pt>
                <c:pt idx="28">
                  <c:v>-2.5766674581017668E-2</c:v>
                </c:pt>
                <c:pt idx="29">
                  <c:v>5.6936698027971744E-3</c:v>
                </c:pt>
                <c:pt idx="30">
                  <c:v>-5.4422903098050313E-3</c:v>
                </c:pt>
                <c:pt idx="31">
                  <c:v>1.9721601779971509E-2</c:v>
                </c:pt>
                <c:pt idx="32">
                  <c:v>1.0480456759088375E-2</c:v>
                </c:pt>
                <c:pt idx="33">
                  <c:v>-1.4933892903827739E-2</c:v>
                </c:pt>
                <c:pt idx="34">
                  <c:v>-4.1609156819125692E-3</c:v>
                </c:pt>
                <c:pt idx="35">
                  <c:v>1.9183950036463449E-2</c:v>
                </c:pt>
                <c:pt idx="36">
                  <c:v>1.2619792178898637E-2</c:v>
                </c:pt>
                <c:pt idx="37">
                  <c:v>1.4962155193253057E-2</c:v>
                </c:pt>
                <c:pt idx="38">
                  <c:v>-3.7113314323424795E-3</c:v>
                </c:pt>
                <c:pt idx="39">
                  <c:v>-1.7414026610673705E-4</c:v>
                </c:pt>
                <c:pt idx="40">
                  <c:v>-9.8892555551295391E-3</c:v>
                </c:pt>
                <c:pt idx="41">
                  <c:v>2.5532847503443312E-2</c:v>
                </c:pt>
                <c:pt idx="42">
                  <c:v>-7.5788457092607064E-3</c:v>
                </c:pt>
                <c:pt idx="43">
                  <c:v>-2.2668467272934034E-2</c:v>
                </c:pt>
                <c:pt idx="44">
                  <c:v>2.3335703194307111E-3</c:v>
                </c:pt>
                <c:pt idx="45">
                  <c:v>2.2399401468337965E-2</c:v>
                </c:pt>
                <c:pt idx="46">
                  <c:v>-1.2765600801138755E-2</c:v>
                </c:pt>
                <c:pt idx="47">
                  <c:v>9.2960544081861496E-3</c:v>
                </c:pt>
                <c:pt idx="48">
                  <c:v>-1.4888943696537149E-3</c:v>
                </c:pt>
                <c:pt idx="49">
                  <c:v>2.7748063667831779E-4</c:v>
                </c:pt>
                <c:pt idx="50">
                  <c:v>-8.1124172523504567E-3</c:v>
                </c:pt>
                <c:pt idx="51">
                  <c:v>-1.2232204531658075E-3</c:v>
                </c:pt>
                <c:pt idx="52">
                  <c:v>-1.3962838100497366E-2</c:v>
                </c:pt>
                <c:pt idx="53">
                  <c:v>-2.2536025245857405E-2</c:v>
                </c:pt>
                <c:pt idx="54">
                  <c:v>7.2434756796232458E-2</c:v>
                </c:pt>
                <c:pt idx="55">
                  <c:v>3.2027597966830745E-2</c:v>
                </c:pt>
                <c:pt idx="56">
                  <c:v>7.9717327704043051E-3</c:v>
                </c:pt>
                <c:pt idx="57">
                  <c:v>-5.5328130996570302E-3</c:v>
                </c:pt>
                <c:pt idx="58">
                  <c:v>-4.9088197958657709E-4</c:v>
                </c:pt>
                <c:pt idx="59">
                  <c:v>-3.3070618300454768E-3</c:v>
                </c:pt>
                <c:pt idx="60">
                  <c:v>3.3180347762045148E-3</c:v>
                </c:pt>
                <c:pt idx="61">
                  <c:v>1.7157231824574737E-2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4-4AAA-85AB-2D7619DF9EDF}"/>
            </c:ext>
          </c:extLst>
        </c:ser>
        <c:ser>
          <c:idx val="1"/>
          <c:order val="1"/>
          <c:tx>
            <c:strRef>
              <c:f>{"Zero line"}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flat" cmpd="sng" algn="ctr">
              <a:solidFill>
                <a:srgbClr val="A6A6A6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msft!$B$2:$B$63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msft!J1:J63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4-4AAA-85AB-2D7619DF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75208"/>
        <c:axId val="687510024"/>
      </c:lineChart>
      <c:dateAx>
        <c:axId val="687475208"/>
        <c:scaling>
          <c:orientation val="minMax"/>
        </c:scaling>
        <c:delete val="0"/>
        <c:axPos val="b"/>
        <c:numFmt formatCode="mm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10024"/>
        <c:crosses val="autoZero"/>
        <c:auto val="1"/>
        <c:lblOffset val="100"/>
        <c:baseTimeUnit val="days"/>
      </c:dateAx>
      <c:valAx>
        <c:axId val="687510024"/>
        <c:scaling>
          <c:orientation val="minMax"/>
          <c:max val="7.4999999999999997E-2"/>
        </c:scaling>
        <c:delete val="0"/>
        <c:axPos val="l"/>
        <c:numFmt formatCode="0.00%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538DD5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7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11492158521504"/>
          <c:y val="0.82812445319335082"/>
          <c:w val="0.51013323971446245"/>
          <c:h val="7.7586749932120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Microsoft-Stock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msft!$G$1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rgbClr val="65A13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msft!$B$2:$B$63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msft!$G$2:$G$63</c:f>
              <c:numCache>
                <c:formatCode>General</c:formatCode>
                <c:ptCount val="62"/>
                <c:pt idx="0">
                  <c:v>266.891510009765</c:v>
                </c:pt>
                <c:pt idx="1">
                  <c:v>266.06359863281199</c:v>
                </c:pt>
                <c:pt idx="2">
                  <c:v>262.96136474609301</c:v>
                </c:pt>
                <c:pt idx="3">
                  <c:v>262.44265747070301</c:v>
                </c:pt>
                <c:pt idx="4">
                  <c:v>270.64212036132801</c:v>
                </c:pt>
                <c:pt idx="5">
                  <c:v>271.49002075195301</c:v>
                </c:pt>
                <c:pt idx="6">
                  <c:v>269.32000732421801</c:v>
                </c:pt>
                <c:pt idx="7">
                  <c:v>262.14999389648398</c:v>
                </c:pt>
                <c:pt idx="8">
                  <c:v>258.05999755859301</c:v>
                </c:pt>
                <c:pt idx="9">
                  <c:v>252.669998168945</c:v>
                </c:pt>
                <c:pt idx="10">
                  <c:v>251.509994506835</c:v>
                </c:pt>
                <c:pt idx="11">
                  <c:v>254.77000427246</c:v>
                </c:pt>
                <c:pt idx="12">
                  <c:v>249.22000122070301</c:v>
                </c:pt>
                <c:pt idx="13">
                  <c:v>250.16000366210901</c:v>
                </c:pt>
                <c:pt idx="14">
                  <c:v>249.419998168945</c:v>
                </c:pt>
                <c:pt idx="15">
                  <c:v>246.27000427246</c:v>
                </c:pt>
                <c:pt idx="16">
                  <c:v>251.11000061035099</c:v>
                </c:pt>
                <c:pt idx="17">
                  <c:v>255.28999328613199</c:v>
                </c:pt>
                <c:pt idx="18">
                  <c:v>256.86999511718699</c:v>
                </c:pt>
                <c:pt idx="19">
                  <c:v>254.14999389648401</c:v>
                </c:pt>
                <c:pt idx="20">
                  <c:v>253.69999694824199</c:v>
                </c:pt>
                <c:pt idx="21">
                  <c:v>252.32000732421801</c:v>
                </c:pt>
                <c:pt idx="22">
                  <c:v>248.58999633789</c:v>
                </c:pt>
                <c:pt idx="23">
                  <c:v>253.919998168945</c:v>
                </c:pt>
                <c:pt idx="24">
                  <c:v>260.79000854492102</c:v>
                </c:pt>
                <c:pt idx="25">
                  <c:v>265.44000244140602</c:v>
                </c:pt>
                <c:pt idx="26">
                  <c:v>276.20001220703102</c:v>
                </c:pt>
                <c:pt idx="27">
                  <c:v>279.42999267578102</c:v>
                </c:pt>
                <c:pt idx="28">
                  <c:v>272.23001098632801</c:v>
                </c:pt>
                <c:pt idx="29">
                  <c:v>273.77999877929602</c:v>
                </c:pt>
                <c:pt idx="30">
                  <c:v>272.29000854492102</c:v>
                </c:pt>
                <c:pt idx="31">
                  <c:v>277.66000366210898</c:v>
                </c:pt>
                <c:pt idx="32">
                  <c:v>280.57000732421801</c:v>
                </c:pt>
                <c:pt idx="33">
                  <c:v>276.38000488281199</c:v>
                </c:pt>
                <c:pt idx="34">
                  <c:v>275.23001098632801</c:v>
                </c:pt>
                <c:pt idx="35">
                  <c:v>280.510009765625</c:v>
                </c:pt>
                <c:pt idx="36">
                  <c:v>284.04998779296801</c:v>
                </c:pt>
                <c:pt idx="37">
                  <c:v>288.29998779296801</c:v>
                </c:pt>
                <c:pt idx="38">
                  <c:v>287.23001098632801</c:v>
                </c:pt>
                <c:pt idx="39">
                  <c:v>287.17999267578102</c:v>
                </c:pt>
                <c:pt idx="40">
                  <c:v>284.33999633789</c:v>
                </c:pt>
                <c:pt idx="41">
                  <c:v>291.600006103515</c:v>
                </c:pt>
                <c:pt idx="42">
                  <c:v>289.39001464843699</c:v>
                </c:pt>
                <c:pt idx="43">
                  <c:v>282.829986572265</c:v>
                </c:pt>
                <c:pt idx="44">
                  <c:v>283.489990234375</c:v>
                </c:pt>
                <c:pt idx="45">
                  <c:v>289.83999633789</c:v>
                </c:pt>
                <c:pt idx="46">
                  <c:v>286.14001464843699</c:v>
                </c:pt>
                <c:pt idx="47">
                  <c:v>288.79998779296801</c:v>
                </c:pt>
                <c:pt idx="48">
                  <c:v>288.36999511718699</c:v>
                </c:pt>
                <c:pt idx="49">
                  <c:v>288.45001220703102</c:v>
                </c:pt>
                <c:pt idx="50">
                  <c:v>286.10998535156199</c:v>
                </c:pt>
                <c:pt idx="51">
                  <c:v>285.760009765625</c:v>
                </c:pt>
                <c:pt idx="52">
                  <c:v>281.76998901367102</c:v>
                </c:pt>
                <c:pt idx="53">
                  <c:v>275.42001342773398</c:v>
                </c:pt>
                <c:pt idx="54">
                  <c:v>295.36999511718699</c:v>
                </c:pt>
                <c:pt idx="55">
                  <c:v>304.829986572265</c:v>
                </c:pt>
                <c:pt idx="56">
                  <c:v>307.260009765625</c:v>
                </c:pt>
                <c:pt idx="57">
                  <c:v>305.55999755859301</c:v>
                </c:pt>
                <c:pt idx="58">
                  <c:v>305.41000366210898</c:v>
                </c:pt>
                <c:pt idx="59">
                  <c:v>304.39999389648398</c:v>
                </c:pt>
                <c:pt idx="60">
                  <c:v>305.41000366210898</c:v>
                </c:pt>
                <c:pt idx="61">
                  <c:v>310.64999389648398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1-44AF-B472-DB1080D4D62D}"/>
            </c:ext>
          </c:extLst>
        </c:ser>
        <c:ser>
          <c:idx val="1"/>
          <c:order val="1"/>
          <c:tx>
            <c:strRef>
              <c:f>msft!$K$1</c:f>
              <c:strCache>
                <c:ptCount val="1"/>
                <c:pt idx="0">
                  <c:v>7 Day Moving Avg</c:v>
                </c:pt>
              </c:strCache>
            </c:strRef>
          </c:tx>
          <c:spPr>
            <a:ln w="12700" cap="rnd">
              <a:solidFill>
                <a:srgbClr val="A9D18E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msft!$B$2:$B$63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msft!$K$2:$K$63</c:f>
              <c:numCache>
                <c:formatCode>General</c:formatCode>
                <c:ptCount val="62"/>
                <c:pt idx="6">
                  <c:v>267.11589704241038</c:v>
                </c:pt>
                <c:pt idx="7">
                  <c:v>266.43853759765591</c:v>
                </c:pt>
                <c:pt idx="8">
                  <c:v>265.2951660156246</c:v>
                </c:pt>
                <c:pt idx="9">
                  <c:v>263.82497079031771</c:v>
                </c:pt>
                <c:pt idx="10">
                  <c:v>262.26316179547945</c:v>
                </c:pt>
                <c:pt idx="11">
                  <c:v>259.99571663992685</c:v>
                </c:pt>
                <c:pt idx="12">
                  <c:v>256.81428527831974</c:v>
                </c:pt>
                <c:pt idx="13">
                  <c:v>254.0771418980184</c:v>
                </c:pt>
                <c:pt idx="14">
                  <c:v>252.2585710797986</c:v>
                </c:pt>
                <c:pt idx="15">
                  <c:v>250.57428632463672</c:v>
                </c:pt>
                <c:pt idx="16">
                  <c:v>250.35142953055188</c:v>
                </c:pt>
                <c:pt idx="17">
                  <c:v>250.8914293561657</c:v>
                </c:pt>
                <c:pt idx="18">
                  <c:v>251.19142804826956</c:v>
                </c:pt>
                <c:pt idx="19">
                  <c:v>251.89571271623828</c:v>
                </c:pt>
                <c:pt idx="20">
                  <c:v>252.40142604282869</c:v>
                </c:pt>
                <c:pt idx="21">
                  <c:v>252.81571306501058</c:v>
                </c:pt>
                <c:pt idx="22">
                  <c:v>253.14714050292918</c:v>
                </c:pt>
                <c:pt idx="23">
                  <c:v>253.54856872558543</c:v>
                </c:pt>
                <c:pt idx="24">
                  <c:v>254.33428519112672</c:v>
                </c:pt>
                <c:pt idx="25">
                  <c:v>255.55857195172942</c:v>
                </c:pt>
                <c:pt idx="26">
                  <c:v>258.70857456752185</c:v>
                </c:pt>
                <c:pt idx="27">
                  <c:v>262.38428824288457</c:v>
                </c:pt>
                <c:pt idx="28">
                  <c:v>265.22857448032886</c:v>
                </c:pt>
                <c:pt idx="29">
                  <c:v>268.82714625767261</c:v>
                </c:pt>
                <c:pt idx="30">
                  <c:v>271.45143345424054</c:v>
                </c:pt>
                <c:pt idx="31">
                  <c:v>273.86143275669599</c:v>
                </c:pt>
                <c:pt idx="32">
                  <c:v>276.02286202566916</c:v>
                </c:pt>
                <c:pt idx="33">
                  <c:v>276.04857526506646</c:v>
                </c:pt>
                <c:pt idx="34">
                  <c:v>275.44857788085886</c:v>
                </c:pt>
                <c:pt idx="35">
                  <c:v>276.63143484932988</c:v>
                </c:pt>
                <c:pt idx="36">
                  <c:v>278.09857613699728</c:v>
                </c:pt>
                <c:pt idx="37">
                  <c:v>280.38571602957546</c:v>
                </c:pt>
                <c:pt idx="38">
                  <c:v>281.75285993303532</c:v>
                </c:pt>
                <c:pt idx="39">
                  <c:v>282.69714355468716</c:v>
                </c:pt>
                <c:pt idx="40">
                  <c:v>283.83428519112687</c:v>
                </c:pt>
                <c:pt idx="41">
                  <c:v>286.17285592215359</c:v>
                </c:pt>
                <c:pt idx="42">
                  <c:v>287.44142804826959</c:v>
                </c:pt>
                <c:pt idx="43">
                  <c:v>287.26714215959771</c:v>
                </c:pt>
                <c:pt idx="44">
                  <c:v>286.5799996512273</c:v>
                </c:pt>
                <c:pt idx="45">
                  <c:v>286.95285470145041</c:v>
                </c:pt>
                <c:pt idx="46">
                  <c:v>286.80428641182982</c:v>
                </c:pt>
                <c:pt idx="47">
                  <c:v>287.44142804826959</c:v>
                </c:pt>
                <c:pt idx="48">
                  <c:v>286.9799979073656</c:v>
                </c:pt>
                <c:pt idx="49">
                  <c:v>286.84571184430757</c:v>
                </c:pt>
                <c:pt idx="50">
                  <c:v>287.31428309849287</c:v>
                </c:pt>
                <c:pt idx="51">
                  <c:v>287.63857160295714</c:v>
                </c:pt>
                <c:pt idx="52">
                  <c:v>286.485713413783</c:v>
                </c:pt>
                <c:pt idx="53">
                  <c:v>284.95428466796824</c:v>
                </c:pt>
                <c:pt idx="54">
                  <c:v>285.89285714285671</c:v>
                </c:pt>
                <c:pt idx="55">
                  <c:v>288.24428449358214</c:v>
                </c:pt>
                <c:pt idx="56">
                  <c:v>290.93142700195273</c:v>
                </c:pt>
                <c:pt idx="57">
                  <c:v>293.7100001743857</c:v>
                </c:pt>
                <c:pt idx="58">
                  <c:v>296.51714215959771</c:v>
                </c:pt>
                <c:pt idx="59">
                  <c:v>299.74999999999955</c:v>
                </c:pt>
                <c:pt idx="60">
                  <c:v>304.03428431919599</c:v>
                </c:pt>
                <c:pt idx="61">
                  <c:v>306.21714128766695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01-44AF-B472-DB1080D4D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573512"/>
        <c:axId val="1487578120"/>
      </c:lineChart>
      <c:dateAx>
        <c:axId val="148757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8CCE4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8120"/>
        <c:crosses val="autoZero"/>
        <c:auto val="1"/>
        <c:lblOffset val="100"/>
        <c:baseTimeUnit val="days"/>
      </c:dateAx>
      <c:valAx>
        <c:axId val="1487578120"/>
        <c:scaling>
          <c:orientation val="minMax"/>
          <c:max val="3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(USD)</a:t>
                </a:r>
              </a:p>
            </c:rich>
          </c:tx>
          <c:layout>
            <c:manualLayout>
              <c:xMode val="edge"/>
              <c:yMode val="edge"/>
              <c:x val="1.6277423920736021E-2"/>
              <c:y val="0.16679245283018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A6A6A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Netflix – 7 Day Rolling Volatility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nflx!$L$1</c:f>
              <c:strCache>
                <c:ptCount val="1"/>
                <c:pt idx="0">
                  <c:v>Volatility</c:v>
                </c:pt>
              </c:strCache>
            </c:strRef>
          </c:tx>
          <c:spPr>
            <a:ln w="19050" cap="rnd">
              <a:solidFill>
                <a:srgbClr val="E066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nflx!$B$2:$B$63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nflx!$L$2:$L$63</c:f>
              <c:numCache>
                <c:formatCode>General</c:formatCode>
                <c:ptCount val="62"/>
                <c:pt idx="6">
                  <c:v>2.477798203291303E-2</c:v>
                </c:pt>
                <c:pt idx="7">
                  <c:v>2.5165934468009087E-2</c:v>
                </c:pt>
                <c:pt idx="8">
                  <c:v>2.4245392022221653E-2</c:v>
                </c:pt>
                <c:pt idx="9">
                  <c:v>2.5750572336778459E-2</c:v>
                </c:pt>
                <c:pt idx="10">
                  <c:v>2.1604620328735356E-2</c:v>
                </c:pt>
                <c:pt idx="11">
                  <c:v>1.6356252434752552E-2</c:v>
                </c:pt>
                <c:pt idx="12">
                  <c:v>1.4263809216466345E-2</c:v>
                </c:pt>
                <c:pt idx="13">
                  <c:v>1.8415400846401607E-2</c:v>
                </c:pt>
                <c:pt idx="14">
                  <c:v>1.7832937596386E-2</c:v>
                </c:pt>
                <c:pt idx="15">
                  <c:v>1.8539640237988868E-2</c:v>
                </c:pt>
                <c:pt idx="16">
                  <c:v>1.7449409299216831E-2</c:v>
                </c:pt>
                <c:pt idx="17">
                  <c:v>1.9309480008826846E-2</c:v>
                </c:pt>
                <c:pt idx="18">
                  <c:v>1.5977747295928973E-2</c:v>
                </c:pt>
                <c:pt idx="19">
                  <c:v>1.4923593704778458E-2</c:v>
                </c:pt>
                <c:pt idx="20">
                  <c:v>1.3163653517351971E-2</c:v>
                </c:pt>
                <c:pt idx="21">
                  <c:v>1.9908646353604963E-2</c:v>
                </c:pt>
                <c:pt idx="22">
                  <c:v>1.8915287041052293E-2</c:v>
                </c:pt>
                <c:pt idx="23">
                  <c:v>1.943148129430429E-2</c:v>
                </c:pt>
                <c:pt idx="24">
                  <c:v>1.860067237543701E-2</c:v>
                </c:pt>
                <c:pt idx="25">
                  <c:v>2.377207064408679E-2</c:v>
                </c:pt>
                <c:pt idx="26">
                  <c:v>2.50620952865994E-2</c:v>
                </c:pt>
                <c:pt idx="27">
                  <c:v>2.5881716521702527E-2</c:v>
                </c:pt>
                <c:pt idx="28">
                  <c:v>1.8370682115689183E-2</c:v>
                </c:pt>
                <c:pt idx="29">
                  <c:v>1.6101054881680652E-2</c:v>
                </c:pt>
                <c:pt idx="30">
                  <c:v>2.36002088663472E-2</c:v>
                </c:pt>
                <c:pt idx="31">
                  <c:v>4.1472097080492584E-2</c:v>
                </c:pt>
                <c:pt idx="32">
                  <c:v>4.1165729140827396E-2</c:v>
                </c:pt>
                <c:pt idx="33">
                  <c:v>4.1262714715220319E-2</c:v>
                </c:pt>
                <c:pt idx="34">
                  <c:v>4.0353278279711011E-2</c:v>
                </c:pt>
                <c:pt idx="35">
                  <c:v>4.0740554424470166E-2</c:v>
                </c:pt>
                <c:pt idx="36">
                  <c:v>4.0506398394058181E-2</c:v>
                </c:pt>
                <c:pt idx="37">
                  <c:v>3.2743433744481631E-2</c:v>
                </c:pt>
                <c:pt idx="38">
                  <c:v>1.4886828060890197E-2</c:v>
                </c:pt>
                <c:pt idx="39">
                  <c:v>1.477989346655117E-2</c:v>
                </c:pt>
                <c:pt idx="40">
                  <c:v>1.6413201834318127E-2</c:v>
                </c:pt>
                <c:pt idx="41">
                  <c:v>1.5724929244742614E-2</c:v>
                </c:pt>
                <c:pt idx="42">
                  <c:v>1.3325825353315465E-2</c:v>
                </c:pt>
                <c:pt idx="43">
                  <c:v>1.1284644014111079E-2</c:v>
                </c:pt>
                <c:pt idx="44">
                  <c:v>9.3524640402718601E-3</c:v>
                </c:pt>
                <c:pt idx="45">
                  <c:v>2.1638544712231783E-2</c:v>
                </c:pt>
                <c:pt idx="46">
                  <c:v>2.3095268321461013E-2</c:v>
                </c:pt>
                <c:pt idx="47">
                  <c:v>2.3489821232095795E-2</c:v>
                </c:pt>
                <c:pt idx="48">
                  <c:v>2.3494571084133931E-2</c:v>
                </c:pt>
                <c:pt idx="49">
                  <c:v>2.5978259810726788E-2</c:v>
                </c:pt>
                <c:pt idx="50">
                  <c:v>2.6456999039261055E-2</c:v>
                </c:pt>
                <c:pt idx="51">
                  <c:v>2.5813820679722592E-2</c:v>
                </c:pt>
                <c:pt idx="52">
                  <c:v>1.6138841575339034E-2</c:v>
                </c:pt>
                <c:pt idx="53">
                  <c:v>1.5826584412852267E-2</c:v>
                </c:pt>
                <c:pt idx="54">
                  <c:v>1.5118122403299345E-2</c:v>
                </c:pt>
                <c:pt idx="55">
                  <c:v>1.6697897914392031E-2</c:v>
                </c:pt>
                <c:pt idx="56">
                  <c:v>1.179450602674827E-2</c:v>
                </c:pt>
                <c:pt idx="57">
                  <c:v>1.3907586459490162E-2</c:v>
                </c:pt>
                <c:pt idx="58">
                  <c:v>1.508453493239144E-2</c:v>
                </c:pt>
                <c:pt idx="59">
                  <c:v>1.5307365524477843E-2</c:v>
                </c:pt>
                <c:pt idx="60">
                  <c:v>1.3899559463092829E-2</c:v>
                </c:pt>
                <c:pt idx="61">
                  <c:v>1.4008518990239463E-2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0-45FA-8ED4-C433F137A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07048"/>
        <c:axId val="2098020872"/>
      </c:lineChart>
      <c:dateAx>
        <c:axId val="209800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27712160979877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20872"/>
        <c:crosses val="autoZero"/>
        <c:auto val="1"/>
        <c:lblOffset val="100"/>
        <c:baseTimeUnit val="days"/>
      </c:dateAx>
      <c:valAx>
        <c:axId val="2098020872"/>
        <c:scaling>
          <c:orientation val="minMax"/>
          <c:max val="4.499999999999999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%</a:t>
                </a:r>
              </a:p>
            </c:rich>
          </c:tx>
          <c:layout>
            <c:manualLayout>
              <c:xMode val="edge"/>
              <c:yMode val="edge"/>
              <c:x val="1.8055555555555554E-2"/>
              <c:y val="0.30755504520268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0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Netflix-Daily return % Trend</a:t>
            </a:r>
          </a:p>
        </c:rich>
      </c:tx>
      <c:layout>
        <c:manualLayout>
          <c:xMode val="edge"/>
          <c:yMode val="edge"/>
          <c:x val="0.27763612351003897"/>
          <c:y val="3.448275862068965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nflx!$I$1</c:f>
              <c:strCache>
                <c:ptCount val="1"/>
                <c:pt idx="0">
                  <c:v>Daily return(%)</c:v>
                </c:pt>
              </c:strCache>
            </c:strRef>
          </c:tx>
          <c:spPr>
            <a:ln w="19050" cap="rnd">
              <a:solidFill>
                <a:srgbClr val="A0522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nflx!$B$2:$B$63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nflx!$I$2:$I$63</c:f>
              <c:numCache>
                <c:formatCode>0.00%</c:formatCode>
                <c:ptCount val="62"/>
                <c:pt idx="1">
                  <c:v>1.0690106721971349E-2</c:v>
                </c:pt>
                <c:pt idx="2">
                  <c:v>-1.1803796665385224E-2</c:v>
                </c:pt>
                <c:pt idx="3">
                  <c:v>-4.1765557650863427E-2</c:v>
                </c:pt>
                <c:pt idx="4">
                  <c:v>3.2272059089680116E-2</c:v>
                </c:pt>
                <c:pt idx="5">
                  <c:v>3.8764651322418242E-3</c:v>
                </c:pt>
                <c:pt idx="6">
                  <c:v>4.0560673611367282E-3</c:v>
                </c:pt>
                <c:pt idx="7">
                  <c:v>-2.9633173523185175E-2</c:v>
                </c:pt>
                <c:pt idx="8">
                  <c:v>-7.8412365401692163E-3</c:v>
                </c:pt>
                <c:pt idx="9">
                  <c:v>-3.0060902724296179E-2</c:v>
                </c:pt>
                <c:pt idx="10">
                  <c:v>-7.7629484953718464E-3</c:v>
                </c:pt>
                <c:pt idx="11">
                  <c:v>-3.3534432700028871E-2</c:v>
                </c:pt>
                <c:pt idx="12">
                  <c:v>-2.0083423829999947E-2</c:v>
                </c:pt>
                <c:pt idx="13">
                  <c:v>1.8540138722913602E-2</c:v>
                </c:pt>
                <c:pt idx="14">
                  <c:v>-2.7861000522707569E-3</c:v>
                </c:pt>
                <c:pt idx="15">
                  <c:v>-2.685249360620956E-2</c:v>
                </c:pt>
                <c:pt idx="16">
                  <c:v>-5.1040131665230914E-3</c:v>
                </c:pt>
                <c:pt idx="17">
                  <c:v>1.0580953383686698E-2</c:v>
                </c:pt>
                <c:pt idx="18">
                  <c:v>-9.9942698448036715E-3</c:v>
                </c:pt>
                <c:pt idx="19">
                  <c:v>-1.1409151596065148E-2</c:v>
                </c:pt>
                <c:pt idx="20">
                  <c:v>1.0762820731610168E-2</c:v>
                </c:pt>
                <c:pt idx="21">
                  <c:v>-4.493412034275146E-2</c:v>
                </c:pt>
                <c:pt idx="22">
                  <c:v>-1.6858046323627196E-2</c:v>
                </c:pt>
                <c:pt idx="23">
                  <c:v>2.5618253005266212E-3</c:v>
                </c:pt>
                <c:pt idx="24">
                  <c:v>4.872040571709757E-3</c:v>
                </c:pt>
                <c:pt idx="25">
                  <c:v>3.0006123381900895E-2</c:v>
                </c:pt>
                <c:pt idx="26">
                  <c:v>2.0639220636990974E-2</c:v>
                </c:pt>
                <c:pt idx="27">
                  <c:v>-2.1157187674147981E-2</c:v>
                </c:pt>
                <c:pt idx="28">
                  <c:v>5.370691541390471E-3</c:v>
                </c:pt>
                <c:pt idx="29">
                  <c:v>2.1630244536670062E-3</c:v>
                </c:pt>
                <c:pt idx="30">
                  <c:v>-3.8882940306044667E-2</c:v>
                </c:pt>
                <c:pt idx="31">
                  <c:v>9.0064653863266564E-2</c:v>
                </c:pt>
                <c:pt idx="32">
                  <c:v>2.5033616298294037E-2</c:v>
                </c:pt>
                <c:pt idx="33">
                  <c:v>-2.2229999505604114E-3</c:v>
                </c:pt>
                <c:pt idx="34">
                  <c:v>-1.2635093090907823E-2</c:v>
                </c:pt>
                <c:pt idx="35">
                  <c:v>2.6304432661393928E-2</c:v>
                </c:pt>
                <c:pt idx="36">
                  <c:v>1.9275348372178813E-2</c:v>
                </c:pt>
                <c:pt idx="37">
                  <c:v>2.0831541125555519E-2</c:v>
                </c:pt>
                <c:pt idx="38">
                  <c:v>8.1046303807106312E-3</c:v>
                </c:pt>
                <c:pt idx="39">
                  <c:v>-4.3930136231152828E-3</c:v>
                </c:pt>
                <c:pt idx="40">
                  <c:v>-1.2689239787988416E-2</c:v>
                </c:pt>
                <c:pt idx="41">
                  <c:v>-8.8214385202518564E-3</c:v>
                </c:pt>
                <c:pt idx="42">
                  <c:v>-1.0019637265908932E-3</c:v>
                </c:pt>
                <c:pt idx="43">
                  <c:v>-2.3009492957526412E-3</c:v>
                </c:pt>
                <c:pt idx="44">
                  <c:v>-2.1229392558426707E-2</c:v>
                </c:pt>
                <c:pt idx="45">
                  <c:v>4.5796464725293529E-2</c:v>
                </c:pt>
                <c:pt idx="46">
                  <c:v>-2.1837711965335016E-2</c:v>
                </c:pt>
                <c:pt idx="47">
                  <c:v>-1.7452687525886024E-2</c:v>
                </c:pt>
                <c:pt idx="48">
                  <c:v>2.9454525809464727E-3</c:v>
                </c:pt>
                <c:pt idx="49">
                  <c:v>-3.1705174416595705E-2</c:v>
                </c:pt>
                <c:pt idx="50">
                  <c:v>6.9014948626724415E-3</c:v>
                </c:pt>
                <c:pt idx="51">
                  <c:v>8.0836171307039351E-3</c:v>
                </c:pt>
                <c:pt idx="52">
                  <c:v>3.1708579562990113E-3</c:v>
                </c:pt>
                <c:pt idx="53">
                  <c:v>-1.9664462454389575E-2</c:v>
                </c:pt>
                <c:pt idx="54">
                  <c:v>-4.3403935807390104E-3</c:v>
                </c:pt>
                <c:pt idx="55">
                  <c:v>1.4634944095767155E-2</c:v>
                </c:pt>
                <c:pt idx="56">
                  <c:v>1.2521057222168341E-2</c:v>
                </c:pt>
                <c:pt idx="57">
                  <c:v>-1.7609789008492638E-2</c:v>
                </c:pt>
                <c:pt idx="58">
                  <c:v>-2.0270293172883536E-2</c:v>
                </c:pt>
                <c:pt idx="59">
                  <c:v>5.5109433704054744E-3</c:v>
                </c:pt>
                <c:pt idx="60">
                  <c:v>4.635173952113103E-3</c:v>
                </c:pt>
                <c:pt idx="61">
                  <c:v>6.1724889140961636E-3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F6-43B0-B835-F4EFBFF5E958}"/>
            </c:ext>
          </c:extLst>
        </c:ser>
        <c:ser>
          <c:idx val="1"/>
          <c:order val="1"/>
          <c:tx>
            <c:strRef>
              <c:f>{"Zero line"}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8080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nflx!$B$2:$B$63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nflx!J1:J63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F6-43B0-B835-F4EFBFF5E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75208"/>
        <c:axId val="687510024"/>
      </c:lineChart>
      <c:dateAx>
        <c:axId val="687475208"/>
        <c:scaling>
          <c:orientation val="minMax"/>
        </c:scaling>
        <c:delete val="0"/>
        <c:axPos val="b"/>
        <c:numFmt formatCode="mmm\-d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10024"/>
        <c:crosses val="autoZero"/>
        <c:auto val="1"/>
        <c:lblOffset val="100"/>
        <c:baseTimeUnit val="days"/>
      </c:dateAx>
      <c:valAx>
        <c:axId val="687510024"/>
        <c:scaling>
          <c:orientation val="minMax"/>
          <c:max val="9.5000000000000001E-2"/>
        </c:scaling>
        <c:delete val="0"/>
        <c:axPos val="l"/>
        <c:numFmt formatCode="0.00%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8DB4E2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75208"/>
        <c:crosses val="autoZero"/>
        <c:crossBetween val="between"/>
        <c:minorUnit val="4.0000000000000001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11492158521504"/>
          <c:y val="0.82812445319335082"/>
          <c:w val="0.51013323971446245"/>
          <c:h val="7.7586749932120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Netflix-Stock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nflx!$G$1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nflx!$B$2:$B$63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nflx!$G$2:$G$63</c:f>
              <c:numCache>
                <c:formatCode>General</c:formatCode>
                <c:ptCount val="62"/>
                <c:pt idx="0">
                  <c:v>362.95001220703102</c:v>
                </c:pt>
                <c:pt idx="1">
                  <c:v>366.829986572265</c:v>
                </c:pt>
                <c:pt idx="2">
                  <c:v>362.5</c:v>
                </c:pt>
                <c:pt idx="3">
                  <c:v>347.35998535156199</c:v>
                </c:pt>
                <c:pt idx="4">
                  <c:v>358.57000732421801</c:v>
                </c:pt>
                <c:pt idx="5">
                  <c:v>359.95999145507801</c:v>
                </c:pt>
                <c:pt idx="6">
                  <c:v>361.42001342773398</c:v>
                </c:pt>
                <c:pt idx="7">
                  <c:v>350.70999145507801</c:v>
                </c:pt>
                <c:pt idx="8">
                  <c:v>347.95999145507801</c:v>
                </c:pt>
                <c:pt idx="9">
                  <c:v>337.5</c:v>
                </c:pt>
                <c:pt idx="10">
                  <c:v>334.88000488281199</c:v>
                </c:pt>
                <c:pt idx="11">
                  <c:v>323.64999389648398</c:v>
                </c:pt>
                <c:pt idx="12">
                  <c:v>317.14999389648398</c:v>
                </c:pt>
                <c:pt idx="13">
                  <c:v>323.02999877929602</c:v>
                </c:pt>
                <c:pt idx="14">
                  <c:v>322.13000488281199</c:v>
                </c:pt>
                <c:pt idx="15">
                  <c:v>313.48001098632801</c:v>
                </c:pt>
                <c:pt idx="16">
                  <c:v>311.88000488281199</c:v>
                </c:pt>
                <c:pt idx="17">
                  <c:v>315.17999267578102</c:v>
                </c:pt>
                <c:pt idx="18">
                  <c:v>312.02999877929602</c:v>
                </c:pt>
                <c:pt idx="19">
                  <c:v>308.47000122070301</c:v>
                </c:pt>
                <c:pt idx="20">
                  <c:v>311.79000854492102</c:v>
                </c:pt>
                <c:pt idx="21">
                  <c:v>297.77999877929602</c:v>
                </c:pt>
                <c:pt idx="22">
                  <c:v>292.760009765625</c:v>
                </c:pt>
                <c:pt idx="23">
                  <c:v>293.510009765625</c:v>
                </c:pt>
                <c:pt idx="24">
                  <c:v>294.94000244140602</c:v>
                </c:pt>
                <c:pt idx="25">
                  <c:v>303.79000854492102</c:v>
                </c:pt>
                <c:pt idx="26">
                  <c:v>310.05999755859301</c:v>
                </c:pt>
                <c:pt idx="27">
                  <c:v>303.5</c:v>
                </c:pt>
                <c:pt idx="28">
                  <c:v>305.13000488281199</c:v>
                </c:pt>
                <c:pt idx="29">
                  <c:v>305.79000854492102</c:v>
                </c:pt>
                <c:pt idx="30">
                  <c:v>293.89999389648398</c:v>
                </c:pt>
                <c:pt idx="31">
                  <c:v>320.36999511718699</c:v>
                </c:pt>
                <c:pt idx="32">
                  <c:v>328.39001464843699</c:v>
                </c:pt>
                <c:pt idx="33">
                  <c:v>327.66000366210898</c:v>
                </c:pt>
                <c:pt idx="34">
                  <c:v>323.51998901367102</c:v>
                </c:pt>
                <c:pt idx="35">
                  <c:v>332.02999877929602</c:v>
                </c:pt>
                <c:pt idx="36">
                  <c:v>338.42999267578102</c:v>
                </c:pt>
                <c:pt idx="37">
                  <c:v>345.48001098632801</c:v>
                </c:pt>
                <c:pt idx="38">
                  <c:v>348.27999877929602</c:v>
                </c:pt>
                <c:pt idx="39">
                  <c:v>346.75</c:v>
                </c:pt>
                <c:pt idx="40">
                  <c:v>342.350006103515</c:v>
                </c:pt>
                <c:pt idx="41">
                  <c:v>339.329986572265</c:v>
                </c:pt>
                <c:pt idx="42">
                  <c:v>338.989990234375</c:v>
                </c:pt>
                <c:pt idx="43">
                  <c:v>338.20999145507801</c:v>
                </c:pt>
                <c:pt idx="44">
                  <c:v>331.02999877929602</c:v>
                </c:pt>
                <c:pt idx="45">
                  <c:v>346.19000244140602</c:v>
                </c:pt>
                <c:pt idx="46">
                  <c:v>338.63000488281199</c:v>
                </c:pt>
                <c:pt idx="47">
                  <c:v>332.72000122070301</c:v>
                </c:pt>
                <c:pt idx="48">
                  <c:v>333.70001220703102</c:v>
                </c:pt>
                <c:pt idx="49">
                  <c:v>323.11999511718699</c:v>
                </c:pt>
                <c:pt idx="50">
                  <c:v>325.350006103515</c:v>
                </c:pt>
                <c:pt idx="51">
                  <c:v>327.98001098632801</c:v>
                </c:pt>
                <c:pt idx="52">
                  <c:v>329.01998901367102</c:v>
                </c:pt>
                <c:pt idx="53">
                  <c:v>322.54998779296801</c:v>
                </c:pt>
                <c:pt idx="54">
                  <c:v>321.14999389648398</c:v>
                </c:pt>
                <c:pt idx="55">
                  <c:v>325.850006103515</c:v>
                </c:pt>
                <c:pt idx="56">
                  <c:v>329.92999267578102</c:v>
                </c:pt>
                <c:pt idx="57">
                  <c:v>324.11999511718699</c:v>
                </c:pt>
                <c:pt idx="58">
                  <c:v>317.54998779296801</c:v>
                </c:pt>
                <c:pt idx="59">
                  <c:v>319.29998779296801</c:v>
                </c:pt>
                <c:pt idx="60">
                  <c:v>320.77999877929602</c:v>
                </c:pt>
                <c:pt idx="61">
                  <c:v>322.760009765625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4-47D1-A9A7-F181F810ED15}"/>
            </c:ext>
          </c:extLst>
        </c:ser>
        <c:ser>
          <c:idx val="1"/>
          <c:order val="1"/>
          <c:tx>
            <c:strRef>
              <c:f>nflx!$K$1</c:f>
              <c:strCache>
                <c:ptCount val="1"/>
                <c:pt idx="0">
                  <c:v>7 Day Moving Avg</c:v>
                </c:pt>
              </c:strCache>
            </c:strRef>
          </c:tx>
          <c:spPr>
            <a:ln w="19050" cap="rnd">
              <a:solidFill>
                <a:srgbClr val="D46EA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nflx!$B$2:$B$63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nflx!$K$2:$K$63</c:f>
              <c:numCache>
                <c:formatCode>General</c:formatCode>
                <c:ptCount val="62"/>
                <c:pt idx="6">
                  <c:v>359.9414280482697</c:v>
                </c:pt>
                <c:pt idx="7">
                  <c:v>358.1928536551336</c:v>
                </c:pt>
                <c:pt idx="8">
                  <c:v>355.49714006696405</c:v>
                </c:pt>
                <c:pt idx="9">
                  <c:v>351.92571149553544</c:v>
                </c:pt>
                <c:pt idx="10">
                  <c:v>350.14285714285688</c:v>
                </c:pt>
                <c:pt idx="11">
                  <c:v>345.15428379603776</c:v>
                </c:pt>
                <c:pt idx="12">
                  <c:v>339.03856985909573</c:v>
                </c:pt>
                <c:pt idx="13">
                  <c:v>333.55428205217601</c:v>
                </c:pt>
                <c:pt idx="14">
                  <c:v>329.47142682756652</c:v>
                </c:pt>
                <c:pt idx="15">
                  <c:v>324.54571533203085</c:v>
                </c:pt>
                <c:pt idx="16">
                  <c:v>320.88571602957546</c:v>
                </c:pt>
                <c:pt idx="17">
                  <c:v>318.07142857142816</c:v>
                </c:pt>
                <c:pt idx="18">
                  <c:v>316.41142926897277</c:v>
                </c:pt>
                <c:pt idx="19">
                  <c:v>315.17143031528974</c:v>
                </c:pt>
                <c:pt idx="20">
                  <c:v>313.56571742466474</c:v>
                </c:pt>
                <c:pt idx="21">
                  <c:v>310.08714512416242</c:v>
                </c:pt>
                <c:pt idx="22">
                  <c:v>307.12714494977627</c:v>
                </c:pt>
                <c:pt idx="23">
                  <c:v>304.50285993303532</c:v>
                </c:pt>
                <c:pt idx="24">
                  <c:v>301.61143275669605</c:v>
                </c:pt>
                <c:pt idx="25">
                  <c:v>300.43429129464249</c:v>
                </c:pt>
                <c:pt idx="26">
                  <c:v>300.6614336286267</c:v>
                </c:pt>
                <c:pt idx="27">
                  <c:v>299.47714669363802</c:v>
                </c:pt>
                <c:pt idx="28">
                  <c:v>300.5271475655689</c:v>
                </c:pt>
                <c:pt idx="29">
                  <c:v>302.38857596261113</c:v>
                </c:pt>
                <c:pt idx="30">
                  <c:v>302.44428798130531</c:v>
                </c:pt>
                <c:pt idx="31">
                  <c:v>306.07714407784539</c:v>
                </c:pt>
                <c:pt idx="32">
                  <c:v>309.59143066406199</c:v>
                </c:pt>
                <c:pt idx="33">
                  <c:v>312.10571725027859</c:v>
                </c:pt>
                <c:pt idx="34">
                  <c:v>314.96571568080299</c:v>
                </c:pt>
                <c:pt idx="35">
                  <c:v>318.80857195172928</c:v>
                </c:pt>
                <c:pt idx="36">
                  <c:v>323.47142682756646</c:v>
                </c:pt>
                <c:pt idx="37">
                  <c:v>330.8400006975441</c:v>
                </c:pt>
                <c:pt idx="38">
                  <c:v>334.82714407784539</c:v>
                </c:pt>
                <c:pt idx="39">
                  <c:v>337.44999912806873</c:v>
                </c:pt>
                <c:pt idx="40">
                  <c:v>339.54857090541242</c:v>
                </c:pt>
                <c:pt idx="41">
                  <c:v>341.80714198521162</c:v>
                </c:pt>
                <c:pt idx="42">
                  <c:v>342.80142647879433</c:v>
                </c:pt>
                <c:pt idx="43">
                  <c:v>342.76999773297956</c:v>
                </c:pt>
                <c:pt idx="44">
                  <c:v>340.70571027483214</c:v>
                </c:pt>
                <c:pt idx="45">
                  <c:v>340.40713936941927</c:v>
                </c:pt>
                <c:pt idx="46">
                  <c:v>339.24714006696382</c:v>
                </c:pt>
                <c:pt idx="47">
                  <c:v>337.87142508370505</c:v>
                </c:pt>
                <c:pt idx="48">
                  <c:v>337.06714303152876</c:v>
                </c:pt>
                <c:pt idx="49">
                  <c:v>334.80000087193042</c:v>
                </c:pt>
                <c:pt idx="50">
                  <c:v>332.96286010742142</c:v>
                </c:pt>
                <c:pt idx="51">
                  <c:v>332.5271475655689</c:v>
                </c:pt>
                <c:pt idx="52">
                  <c:v>330.07428850446382</c:v>
                </c:pt>
                <c:pt idx="53">
                  <c:v>327.77714320591468</c:v>
                </c:pt>
                <c:pt idx="54">
                  <c:v>326.1242850167406</c:v>
                </c:pt>
                <c:pt idx="55">
                  <c:v>325.00285557338117</c:v>
                </c:pt>
                <c:pt idx="56">
                  <c:v>325.97571236746597</c:v>
                </c:pt>
                <c:pt idx="57">
                  <c:v>325.79999651227627</c:v>
                </c:pt>
                <c:pt idx="58">
                  <c:v>324.30999319893914</c:v>
                </c:pt>
                <c:pt idx="59">
                  <c:v>322.92142159598154</c:v>
                </c:pt>
                <c:pt idx="60">
                  <c:v>322.66856602259986</c:v>
                </c:pt>
                <c:pt idx="61">
                  <c:v>322.89856828962002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4-47D1-A9A7-F181F810E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272456"/>
        <c:axId val="839274504"/>
      </c:lineChart>
      <c:dateAx>
        <c:axId val="839272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4504"/>
        <c:crosses val="autoZero"/>
        <c:auto val="1"/>
        <c:lblOffset val="100"/>
        <c:baseTimeUnit val="days"/>
      </c:dateAx>
      <c:valAx>
        <c:axId val="839274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– Stock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google!$G$1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rgbClr val="C7BD0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google!$B$2:$B$63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google!$G$2:$G$63</c:f>
              <c:numCache>
                <c:formatCode>General</c:formatCode>
                <c:ptCount val="62"/>
                <c:pt idx="0">
                  <c:v>108.040000915527</c:v>
                </c:pt>
                <c:pt idx="1">
                  <c:v>100</c:v>
                </c:pt>
                <c:pt idx="2">
                  <c:v>95.459999084472599</c:v>
                </c:pt>
                <c:pt idx="3">
                  <c:v>94.860000610351506</c:v>
                </c:pt>
                <c:pt idx="4">
                  <c:v>95</c:v>
                </c:pt>
                <c:pt idx="5">
                  <c:v>94.949996948242102</c:v>
                </c:pt>
                <c:pt idx="6">
                  <c:v>97.099998474121094</c:v>
                </c:pt>
                <c:pt idx="7">
                  <c:v>95.779998779296804</c:v>
                </c:pt>
                <c:pt idx="8">
                  <c:v>94.589996337890597</c:v>
                </c:pt>
                <c:pt idx="9">
                  <c:v>92.050003051757798</c:v>
                </c:pt>
                <c:pt idx="10">
                  <c:v>91.800003051757798</c:v>
                </c:pt>
                <c:pt idx="11">
                  <c:v>91.069999694824205</c:v>
                </c:pt>
                <c:pt idx="12">
                  <c:v>89.349998474121094</c:v>
                </c:pt>
                <c:pt idx="13">
                  <c:v>90.099998474121094</c:v>
                </c:pt>
                <c:pt idx="14">
                  <c:v>90.300003051757798</c:v>
                </c:pt>
                <c:pt idx="15">
                  <c:v>90.510002136230398</c:v>
                </c:pt>
                <c:pt idx="16">
                  <c:v>92.309997558593693</c:v>
                </c:pt>
                <c:pt idx="17">
                  <c:v>94.019996643066406</c:v>
                </c:pt>
                <c:pt idx="18">
                  <c:v>95.580001831054602</c:v>
                </c:pt>
                <c:pt idx="19">
                  <c:v>94.169998168945298</c:v>
                </c:pt>
                <c:pt idx="20">
                  <c:v>94.650001525878906</c:v>
                </c:pt>
                <c:pt idx="21">
                  <c:v>92.660003662109304</c:v>
                </c:pt>
                <c:pt idx="22">
                  <c:v>91.010002136230398</c:v>
                </c:pt>
                <c:pt idx="23">
                  <c:v>91.660003662109304</c:v>
                </c:pt>
                <c:pt idx="24">
                  <c:v>94.25</c:v>
                </c:pt>
                <c:pt idx="25">
                  <c:v>96.550003051757798</c:v>
                </c:pt>
                <c:pt idx="26">
                  <c:v>101.06999969482401</c:v>
                </c:pt>
                <c:pt idx="27">
                  <c:v>102.459999084472</c:v>
                </c:pt>
                <c:pt idx="28">
                  <c:v>101.930000305175</c:v>
                </c:pt>
                <c:pt idx="29">
                  <c:v>105.83999633789</c:v>
                </c:pt>
                <c:pt idx="30">
                  <c:v>104.220001220703</c:v>
                </c:pt>
                <c:pt idx="31">
                  <c:v>106.26000213623</c:v>
                </c:pt>
                <c:pt idx="32">
                  <c:v>106.059997558593</c:v>
                </c:pt>
                <c:pt idx="33">
                  <c:v>103.059997558593</c:v>
                </c:pt>
                <c:pt idx="34">
                  <c:v>101.36000061035099</c:v>
                </c:pt>
                <c:pt idx="35">
                  <c:v>101.900001525878</c:v>
                </c:pt>
                <c:pt idx="36">
                  <c:v>101.31999969482401</c:v>
                </c:pt>
                <c:pt idx="37">
                  <c:v>104</c:v>
                </c:pt>
                <c:pt idx="38">
                  <c:v>104.91000366210901</c:v>
                </c:pt>
                <c:pt idx="39">
                  <c:v>105.120002746582</c:v>
                </c:pt>
                <c:pt idx="40">
                  <c:v>104.949996948242</c:v>
                </c:pt>
                <c:pt idx="41">
                  <c:v>108.900001525878</c:v>
                </c:pt>
                <c:pt idx="42">
                  <c:v>106.949996948242</c:v>
                </c:pt>
                <c:pt idx="43">
                  <c:v>106.120002746582</c:v>
                </c:pt>
                <c:pt idx="44">
                  <c:v>105.220001220703</c:v>
                </c:pt>
                <c:pt idx="45">
                  <c:v>108.19000244140599</c:v>
                </c:pt>
                <c:pt idx="46">
                  <c:v>109.459999084472</c:v>
                </c:pt>
                <c:pt idx="47">
                  <c:v>106.419998168945</c:v>
                </c:pt>
                <c:pt idx="48">
                  <c:v>105.120002746582</c:v>
                </c:pt>
                <c:pt idx="49">
                  <c:v>105.01999664306599</c:v>
                </c:pt>
                <c:pt idx="50">
                  <c:v>105.900001525878</c:v>
                </c:pt>
                <c:pt idx="51">
                  <c:v>105.91000366210901</c:v>
                </c:pt>
                <c:pt idx="52">
                  <c:v>106.77999877929599</c:v>
                </c:pt>
                <c:pt idx="53">
                  <c:v>104.61000061035099</c:v>
                </c:pt>
                <c:pt idx="54">
                  <c:v>104.449996948242</c:v>
                </c:pt>
                <c:pt idx="55">
                  <c:v>108.370002746582</c:v>
                </c:pt>
                <c:pt idx="56">
                  <c:v>108.220001220703</c:v>
                </c:pt>
                <c:pt idx="57">
                  <c:v>107.709999084472</c:v>
                </c:pt>
                <c:pt idx="58">
                  <c:v>105.980003356933</c:v>
                </c:pt>
                <c:pt idx="59">
                  <c:v>106.120002746582</c:v>
                </c:pt>
                <c:pt idx="60">
                  <c:v>105.209999084472</c:v>
                </c:pt>
                <c:pt idx="61">
                  <c:v>106.21499633789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E-49F3-B086-2B398F587880}"/>
            </c:ext>
          </c:extLst>
        </c:ser>
        <c:ser>
          <c:idx val="1"/>
          <c:order val="1"/>
          <c:tx>
            <c:strRef>
              <c:f>google!$K$1</c:f>
              <c:strCache>
                <c:ptCount val="1"/>
                <c:pt idx="0">
                  <c:v>7 Day Moving Avg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google!$B$2:$B$63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google!$K$2:$K$63</c:f>
              <c:numCache>
                <c:formatCode>General</c:formatCode>
                <c:ptCount val="62"/>
                <c:pt idx="6">
                  <c:v>97.915713718959182</c:v>
                </c:pt>
                <c:pt idx="7">
                  <c:v>96.16428484235486</c:v>
                </c:pt>
                <c:pt idx="8">
                  <c:v>95.391427176339235</c:v>
                </c:pt>
                <c:pt idx="9">
                  <c:v>94.904284885951412</c:v>
                </c:pt>
                <c:pt idx="10">
                  <c:v>94.467142377580885</c:v>
                </c:pt>
                <c:pt idx="11">
                  <c:v>93.905713762555777</c:v>
                </c:pt>
                <c:pt idx="12">
                  <c:v>93.105713980538482</c:v>
                </c:pt>
                <c:pt idx="13">
                  <c:v>92.105713980538482</c:v>
                </c:pt>
                <c:pt idx="14">
                  <c:v>91.32285744803292</c:v>
                </c:pt>
                <c:pt idx="15">
                  <c:v>90.740001133510006</c:v>
                </c:pt>
                <c:pt idx="16">
                  <c:v>90.777143205915152</c:v>
                </c:pt>
                <c:pt idx="17">
                  <c:v>91.09428514753067</c:v>
                </c:pt>
                <c:pt idx="18">
                  <c:v>91.738571166992159</c:v>
                </c:pt>
                <c:pt idx="19">
                  <c:v>92.427142551967037</c:v>
                </c:pt>
                <c:pt idx="20">
                  <c:v>93.077142987932447</c:v>
                </c:pt>
                <c:pt idx="21">
                  <c:v>93.414285932268371</c:v>
                </c:pt>
                <c:pt idx="22">
                  <c:v>93.48571450369694</c:v>
                </c:pt>
                <c:pt idx="23">
                  <c:v>93.392858232770593</c:v>
                </c:pt>
                <c:pt idx="24">
                  <c:v>93.425715855189679</c:v>
                </c:pt>
                <c:pt idx="25">
                  <c:v>93.564287458147291</c:v>
                </c:pt>
                <c:pt idx="26">
                  <c:v>94.550001961844245</c:v>
                </c:pt>
                <c:pt idx="27">
                  <c:v>95.665715898786104</c:v>
                </c:pt>
                <c:pt idx="28">
                  <c:v>96.990001133509779</c:v>
                </c:pt>
                <c:pt idx="29">
                  <c:v>99.108571733746885</c:v>
                </c:pt>
                <c:pt idx="30">
                  <c:v>100.90285709926026</c:v>
                </c:pt>
                <c:pt idx="31">
                  <c:v>102.61857169015025</c:v>
                </c:pt>
                <c:pt idx="32">
                  <c:v>103.97714233398385</c:v>
                </c:pt>
                <c:pt idx="33">
                  <c:v>104.26142774309371</c:v>
                </c:pt>
                <c:pt idx="34">
                  <c:v>104.10428510393356</c:v>
                </c:pt>
                <c:pt idx="35">
                  <c:v>104.09999956403399</c:v>
                </c:pt>
                <c:pt idx="36">
                  <c:v>103.45428575788171</c:v>
                </c:pt>
                <c:pt idx="37">
                  <c:v>103.422857012067</c:v>
                </c:pt>
                <c:pt idx="38">
                  <c:v>103.23000008719258</c:v>
                </c:pt>
                <c:pt idx="39">
                  <c:v>103.09571511404815</c:v>
                </c:pt>
                <c:pt idx="40">
                  <c:v>103.36571502685514</c:v>
                </c:pt>
                <c:pt idx="41">
                  <c:v>104.44285801478757</c:v>
                </c:pt>
                <c:pt idx="42">
                  <c:v>105.16428593226814</c:v>
                </c:pt>
                <c:pt idx="43">
                  <c:v>105.85000065394786</c:v>
                </c:pt>
                <c:pt idx="44">
                  <c:v>106.02428654261972</c:v>
                </c:pt>
                <c:pt idx="45">
                  <c:v>106.492857796805</c:v>
                </c:pt>
                <c:pt idx="46">
                  <c:v>107.11285727364644</c:v>
                </c:pt>
                <c:pt idx="47">
                  <c:v>107.32285744803256</c:v>
                </c:pt>
                <c:pt idx="48">
                  <c:v>106.78285762241886</c:v>
                </c:pt>
                <c:pt idx="49">
                  <c:v>106.50714329310799</c:v>
                </c:pt>
                <c:pt idx="50">
                  <c:v>106.47571454729314</c:v>
                </c:pt>
                <c:pt idx="51">
                  <c:v>106.57428632463686</c:v>
                </c:pt>
                <c:pt idx="52">
                  <c:v>106.37285723004972</c:v>
                </c:pt>
                <c:pt idx="53">
                  <c:v>105.68000030517528</c:v>
                </c:pt>
                <c:pt idx="54">
                  <c:v>105.39857155936056</c:v>
                </c:pt>
                <c:pt idx="55">
                  <c:v>105.86285727364627</c:v>
                </c:pt>
                <c:pt idx="56">
                  <c:v>106.32000078473729</c:v>
                </c:pt>
                <c:pt idx="57">
                  <c:v>106.57857186453643</c:v>
                </c:pt>
                <c:pt idx="58">
                  <c:v>106.58857182093985</c:v>
                </c:pt>
                <c:pt idx="59">
                  <c:v>106.49428667340929</c:v>
                </c:pt>
                <c:pt idx="60">
                  <c:v>106.58000074114086</c:v>
                </c:pt>
                <c:pt idx="61">
                  <c:v>106.83214351109056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3E-49F3-B086-2B398F58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573512"/>
        <c:axId val="1487578120"/>
      </c:lineChart>
      <c:dateAx>
        <c:axId val="148757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8CCE4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8120"/>
        <c:crosses val="autoZero"/>
        <c:auto val="1"/>
        <c:lblOffset val="100"/>
        <c:baseTimeUnit val="days"/>
      </c:dateAx>
      <c:valAx>
        <c:axId val="1487578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A6A6A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55088018456296"/>
          <c:y val="0.85471638686673601"/>
          <c:w val="0.55157742224897044"/>
          <c:h val="8.4906254642697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Google-Daily return % Trend</a:t>
            </a:r>
          </a:p>
        </c:rich>
      </c:tx>
      <c:layout>
        <c:manualLayout>
          <c:xMode val="edge"/>
          <c:yMode val="edge"/>
          <c:x val="0.29683646232119076"/>
          <c:y val="4.8275862068965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google!$I$1</c:f>
              <c:strCache>
                <c:ptCount val="1"/>
                <c:pt idx="0">
                  <c:v>Daily return(%)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google!$B$2:$B$63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google!$I$2:$I$63</c:f>
              <c:numCache>
                <c:formatCode>0.00%</c:formatCode>
                <c:ptCount val="62"/>
                <c:pt idx="1">
                  <c:v>-7.441689047941813E-2</c:v>
                </c:pt>
                <c:pt idx="2">
                  <c:v>-4.5400009155273979E-2</c:v>
                </c:pt>
                <c:pt idx="3">
                  <c:v>-6.2853391983604956E-3</c:v>
                </c:pt>
                <c:pt idx="4">
                  <c:v>1.4758527171379043E-3</c:v>
                </c:pt>
                <c:pt idx="5">
                  <c:v>-5.2634791324102093E-4</c:v>
                </c:pt>
                <c:pt idx="6">
                  <c:v>2.2643513375266044E-2</c:v>
                </c:pt>
                <c:pt idx="7">
                  <c:v>-1.3594229820467985E-2</c:v>
                </c:pt>
                <c:pt idx="8">
                  <c:v>-1.2424331348638851E-2</c:v>
                </c:pt>
                <c:pt idx="9">
                  <c:v>-2.6852662908026126E-2</c:v>
                </c:pt>
                <c:pt idx="10">
                  <c:v>-2.7159151734023057E-3</c:v>
                </c:pt>
                <c:pt idx="11">
                  <c:v>-7.9521060203234795E-3</c:v>
                </c:pt>
                <c:pt idx="12">
                  <c:v>-1.8886584237035708E-2</c:v>
                </c:pt>
                <c:pt idx="13">
                  <c:v>8.3939564947752565E-3</c:v>
                </c:pt>
                <c:pt idx="14">
                  <c:v>2.2198066706311526E-3</c:v>
                </c:pt>
                <c:pt idx="15">
                  <c:v>2.3255711780234556E-3</c:v>
                </c:pt>
                <c:pt idx="16">
                  <c:v>1.9887254224721485E-2</c:v>
                </c:pt>
                <c:pt idx="17">
                  <c:v>1.8524527458548601E-2</c:v>
                </c:pt>
                <c:pt idx="18">
                  <c:v>1.6592270194504932E-2</c:v>
                </c:pt>
                <c:pt idx="19">
                  <c:v>-1.4752078207757258E-2</c:v>
                </c:pt>
                <c:pt idx="20">
                  <c:v>5.0972004488356593E-3</c:v>
                </c:pt>
                <c:pt idx="21">
                  <c:v>-2.1024805406109848E-2</c:v>
                </c:pt>
                <c:pt idx="22">
                  <c:v>-1.7807052241177845E-2</c:v>
                </c:pt>
                <c:pt idx="23">
                  <c:v>7.1420888981623687E-3</c:v>
                </c:pt>
                <c:pt idx="24">
                  <c:v>2.8256559397906278E-2</c:v>
                </c:pt>
                <c:pt idx="25">
                  <c:v>2.4403215403265843E-2</c:v>
                </c:pt>
                <c:pt idx="26">
                  <c:v>4.6815085450004235E-2</c:v>
                </c:pt>
                <c:pt idx="27">
                  <c:v>1.3752838565796344E-2</c:v>
                </c:pt>
                <c:pt idx="28">
                  <c:v>-5.172738473870675E-3</c:v>
                </c:pt>
                <c:pt idx="29">
                  <c:v>3.8359619552718494E-2</c:v>
                </c:pt>
                <c:pt idx="30">
                  <c:v>-1.5306076844666894E-2</c:v>
                </c:pt>
                <c:pt idx="31">
                  <c:v>1.9573986678497191E-2</c:v>
                </c:pt>
                <c:pt idx="32">
                  <c:v>-1.8822188369673754E-3</c:v>
                </c:pt>
                <c:pt idx="33">
                  <c:v>-2.8285876570406709E-2</c:v>
                </c:pt>
                <c:pt idx="34">
                  <c:v>-1.6495216267354396E-2</c:v>
                </c:pt>
                <c:pt idx="35">
                  <c:v>5.3275543831425853E-3</c:v>
                </c:pt>
                <c:pt idx="36">
                  <c:v>-5.6918726434630473E-3</c:v>
                </c:pt>
                <c:pt idx="37">
                  <c:v>2.6450851887565685E-2</c:v>
                </c:pt>
                <c:pt idx="38">
                  <c:v>8.7500352125866598E-3</c:v>
                </c:pt>
                <c:pt idx="39">
                  <c:v>2.0017069597038084E-3</c:v>
                </c:pt>
                <c:pt idx="40">
                  <c:v>-1.6172545081628575E-3</c:v>
                </c:pt>
                <c:pt idx="41">
                  <c:v>3.7637014697427862E-2</c:v>
                </c:pt>
                <c:pt idx="42">
                  <c:v>-1.7906377872479728E-2</c:v>
                </c:pt>
                <c:pt idx="43">
                  <c:v>-7.7605818171427865E-3</c:v>
                </c:pt>
                <c:pt idx="44">
                  <c:v>-8.4809791046485117E-3</c:v>
                </c:pt>
                <c:pt idx="45">
                  <c:v>2.8226584168853153E-2</c:v>
                </c:pt>
                <c:pt idx="46">
                  <c:v>1.1738576711409321E-2</c:v>
                </c:pt>
                <c:pt idx="47">
                  <c:v>-2.7772710953350099E-2</c:v>
                </c:pt>
                <c:pt idx="48">
                  <c:v>-1.2215706114739988E-2</c:v>
                </c:pt>
                <c:pt idx="49">
                  <c:v>-9.5135179702288131E-4</c:v>
                </c:pt>
                <c:pt idx="50">
                  <c:v>8.379403075043923E-3</c:v>
                </c:pt>
                <c:pt idx="51">
                  <c:v>9.4448877118846752E-5</c:v>
                </c:pt>
                <c:pt idx="52">
                  <c:v>8.214475376307151E-3</c:v>
                </c:pt>
                <c:pt idx="53">
                  <c:v>-2.0322140791836696E-2</c:v>
                </c:pt>
                <c:pt idx="54">
                  <c:v>-1.5295254868123997E-3</c:v>
                </c:pt>
                <c:pt idx="55">
                  <c:v>3.752997523094681E-2</c:v>
                </c:pt>
                <c:pt idx="56">
                  <c:v>-1.3841609493152607E-3</c:v>
                </c:pt>
                <c:pt idx="57">
                  <c:v>-4.7126421223272486E-3</c:v>
                </c:pt>
                <c:pt idx="58">
                  <c:v>-1.6061607485320373E-2</c:v>
                </c:pt>
                <c:pt idx="59">
                  <c:v>1.32099816205411E-3</c:v>
                </c:pt>
                <c:pt idx="60">
                  <c:v>-8.5752321763797879E-3</c:v>
                </c:pt>
                <c:pt idx="61">
                  <c:v>9.5522979009923237E-3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B-4C2C-A9BD-94764EBA1ABB}"/>
            </c:ext>
          </c:extLst>
        </c:ser>
        <c:ser>
          <c:idx val="1"/>
          <c:order val="1"/>
          <c:tx>
            <c:strRef>
              <c:f>{"Zero line"}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flat" cmpd="sng" algn="ctr">
              <a:solidFill>
                <a:srgbClr val="808080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google!$B$2:$B$63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google!J1:J63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7B-4C2C-A9BD-94764EBA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75208"/>
        <c:axId val="687510024"/>
      </c:lineChart>
      <c:dateAx>
        <c:axId val="687475208"/>
        <c:scaling>
          <c:orientation val="minMax"/>
        </c:scaling>
        <c:delete val="0"/>
        <c:axPos val="b"/>
        <c:numFmt formatCode="mm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10024"/>
        <c:crosses val="autoZero"/>
        <c:auto val="1"/>
        <c:lblOffset val="100"/>
        <c:baseTimeUnit val="days"/>
      </c:dateAx>
      <c:valAx>
        <c:axId val="687510024"/>
        <c:scaling>
          <c:orientation val="minMax"/>
          <c:max val="0.06"/>
        </c:scaling>
        <c:delete val="0"/>
        <c:axPos val="l"/>
        <c:numFmt formatCode="0.00%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538DD5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7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11492158521504"/>
          <c:y val="0.82812445319335082"/>
          <c:w val="0.51013323971446245"/>
          <c:h val="7.7586749932120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– 7 Day Rolling Volatility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google!$L$1</c:f>
              <c:strCache>
                <c:ptCount val="1"/>
                <c:pt idx="0">
                  <c:v>Volatility</c:v>
                </c:pt>
              </c:strCache>
            </c:strRef>
          </c:tx>
          <c:spPr>
            <a:ln w="19050" cap="rnd">
              <a:solidFill>
                <a:srgbClr val="D13D3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google!$B$2:$B$63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google!$L$2:$L$63</c:f>
              <c:numCache>
                <c:formatCode>General</c:formatCode>
                <c:ptCount val="62"/>
                <c:pt idx="6">
                  <c:v>3.5783703190873886E-2</c:v>
                </c:pt>
                <c:pt idx="7">
                  <c:v>3.2692534792832004E-2</c:v>
                </c:pt>
                <c:pt idx="8">
                  <c:v>2.0561830394645347E-2</c:v>
                </c:pt>
                <c:pt idx="9">
                  <c:v>1.5460924666899259E-2</c:v>
                </c:pt>
                <c:pt idx="10">
                  <c:v>1.5473421872571586E-2</c:v>
                </c:pt>
                <c:pt idx="11">
                  <c:v>1.5268365191909003E-2</c:v>
                </c:pt>
                <c:pt idx="12">
                  <c:v>1.5757092510564816E-2</c:v>
                </c:pt>
                <c:pt idx="13">
                  <c:v>1.136549315776457E-2</c:v>
                </c:pt>
                <c:pt idx="14">
                  <c:v>1.220616471046204E-2</c:v>
                </c:pt>
                <c:pt idx="15">
                  <c:v>1.264418207810355E-2</c:v>
                </c:pt>
                <c:pt idx="16">
                  <c:v>1.2261613870140412E-2</c:v>
                </c:pt>
                <c:pt idx="17">
                  <c:v>1.3865769473870141E-2</c:v>
                </c:pt>
                <c:pt idx="18">
                  <c:v>1.3587163871368569E-2</c:v>
                </c:pt>
                <c:pt idx="19">
                  <c:v>1.2303080073802168E-2</c:v>
                </c:pt>
                <c:pt idx="20">
                  <c:v>1.2330635763838865E-2</c:v>
                </c:pt>
                <c:pt idx="21">
                  <c:v>1.6348091205838154E-2</c:v>
                </c:pt>
                <c:pt idx="22">
                  <c:v>1.8305897628144038E-2</c:v>
                </c:pt>
                <c:pt idx="23">
                  <c:v>1.6666677961952019E-2</c:v>
                </c:pt>
                <c:pt idx="24">
                  <c:v>1.882255138217731E-2</c:v>
                </c:pt>
                <c:pt idx="25">
                  <c:v>2.0122160323722944E-2</c:v>
                </c:pt>
                <c:pt idx="26">
                  <c:v>2.4707941013786244E-2</c:v>
                </c:pt>
                <c:pt idx="27">
                  <c:v>2.4614052760076537E-2</c:v>
                </c:pt>
                <c:pt idx="28">
                  <c:v>2.1658822522372875E-2</c:v>
                </c:pt>
                <c:pt idx="29">
                  <c:v>1.8052924187269052E-2</c:v>
                </c:pt>
                <c:pt idx="30">
                  <c:v>2.2552170127065105E-2</c:v>
                </c:pt>
                <c:pt idx="31">
                  <c:v>2.2176511407977703E-2</c:v>
                </c:pt>
                <c:pt idx="32">
                  <c:v>2.3020071911775117E-2</c:v>
                </c:pt>
                <c:pt idx="33">
                  <c:v>2.2528394233472086E-2</c:v>
                </c:pt>
                <c:pt idx="34">
                  <c:v>2.3019001074661101E-2</c:v>
                </c:pt>
                <c:pt idx="35">
                  <c:v>2.3067825823894383E-2</c:v>
                </c:pt>
                <c:pt idx="36">
                  <c:v>1.5772992840291811E-2</c:v>
                </c:pt>
                <c:pt idx="37">
                  <c:v>1.9231704877562723E-2</c:v>
                </c:pt>
                <c:pt idx="38">
                  <c:v>1.7761076169581051E-2</c:v>
                </c:pt>
                <c:pt idx="39">
                  <c:v>1.7814638714421818E-2</c:v>
                </c:pt>
                <c:pt idx="40">
                  <c:v>1.3326738487758375E-2</c:v>
                </c:pt>
                <c:pt idx="41">
                  <c:v>1.5821033047761848E-2</c:v>
                </c:pt>
                <c:pt idx="42">
                  <c:v>1.9151242722205364E-2</c:v>
                </c:pt>
                <c:pt idx="43">
                  <c:v>1.9395743727421727E-2</c:v>
                </c:pt>
                <c:pt idx="44">
                  <c:v>1.7933940966392111E-2</c:v>
                </c:pt>
                <c:pt idx="45">
                  <c:v>2.0516240789204002E-2</c:v>
                </c:pt>
                <c:pt idx="46">
                  <c:v>2.0641540018676064E-2</c:v>
                </c:pt>
                <c:pt idx="47">
                  <c:v>2.4290137076800347E-2</c:v>
                </c:pt>
                <c:pt idx="48">
                  <c:v>1.8890311056764329E-2</c:v>
                </c:pt>
                <c:pt idx="49">
                  <c:v>1.800832002376189E-2</c:v>
                </c:pt>
                <c:pt idx="50">
                  <c:v>1.8248114999421597E-2</c:v>
                </c:pt>
                <c:pt idx="51">
                  <c:v>1.7880042314732926E-2</c:v>
                </c:pt>
                <c:pt idx="52">
                  <c:v>1.3991543441215632E-2</c:v>
                </c:pt>
                <c:pt idx="53">
                  <c:v>1.4073101831785485E-2</c:v>
                </c:pt>
                <c:pt idx="54">
                  <c:v>1.0449544090237765E-2</c:v>
                </c:pt>
                <c:pt idx="55">
                  <c:v>1.7423381332031928E-2</c:v>
                </c:pt>
                <c:pt idx="56">
                  <c:v>1.7446652876092688E-2</c:v>
                </c:pt>
                <c:pt idx="57">
                  <c:v>1.765274006975083E-2</c:v>
                </c:pt>
                <c:pt idx="58">
                  <c:v>1.9030571508637465E-2</c:v>
                </c:pt>
                <c:pt idx="59">
                  <c:v>1.8725520590898482E-2</c:v>
                </c:pt>
                <c:pt idx="60">
                  <c:v>1.7136794633986596E-2</c:v>
                </c:pt>
                <c:pt idx="61">
                  <c:v>1.7380654753748222E-2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1-4E7E-AC34-C7938F1B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07048"/>
        <c:axId val="2098020872"/>
      </c:lineChart>
      <c:dateAx>
        <c:axId val="209800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277121609798778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20872"/>
        <c:crosses val="autoZero"/>
        <c:auto val="1"/>
        <c:lblOffset val="100"/>
        <c:baseTimeUnit val="days"/>
      </c:dateAx>
      <c:valAx>
        <c:axId val="2098020872"/>
        <c:scaling>
          <c:orientation val="minMax"/>
          <c:max val="0.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%</a:t>
                </a:r>
              </a:p>
            </c:rich>
          </c:tx>
          <c:layout>
            <c:manualLayout>
              <c:xMode val="edge"/>
              <c:yMode val="edge"/>
              <c:x val="1.8055555555555554E-2"/>
              <c:y val="0.30755504520268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0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KPI Comparison Across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A6A6A6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7B-4519-9493-63CE327321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7B-4519-9493-63CE32732110}"/>
                </c:ext>
              </c:extLst>
            </c:dLbl>
            <c:dLbl>
              <c:idx val="2"/>
              <c:layout>
                <c:manualLayout>
                  <c:x val="-1.2500000000000051E-2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7B-4519-9493-63CE32732110}"/>
                </c:ext>
              </c:extLst>
            </c:dLbl>
            <c:dLbl>
              <c:idx val="3"/>
              <c:layout>
                <c:manualLayout>
                  <c:x val="-4.3749999999999997E-2"/>
                  <c:y val="3.81951735199767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7B-4519-9493-63CE327321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7B-4519-9493-63CE327321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kpi!$A$3:$A$7</c:f>
              <c:strCache>
                <c:ptCount val="5"/>
                <c:pt idx="0">
                  <c:v>Avg Daily Return</c:v>
                </c:pt>
                <c:pt idx="1">
                  <c:v>Avg Volatility</c:v>
                </c:pt>
                <c:pt idx="2">
                  <c:v>Highest Return</c:v>
                </c:pt>
                <c:pt idx="3">
                  <c:v>Lowest Return</c:v>
                </c:pt>
                <c:pt idx="4">
                  <c:v>Recent Volatility</c:v>
                </c:pt>
              </c:strCache>
            </c:strRef>
          </c:cat>
          <c:val>
            <c:numRef>
              <c:f>kpi!$B$3:$B$7</c:f>
              <c:numCache>
                <c:formatCode>0.00%</c:formatCode>
                <c:ptCount val="5"/>
                <c:pt idx="0">
                  <c:v>2.0165498394367981E-3</c:v>
                </c:pt>
                <c:pt idx="1">
                  <c:v>1.3260070624251901E-2</c:v>
                </c:pt>
                <c:pt idx="2">
                  <c:v>4.6926921727167947E-2</c:v>
                </c:pt>
                <c:pt idx="3">
                  <c:v>-2.667982460044338E-2</c:v>
                </c:pt>
                <c:pt idx="4">
                  <c:v>1.3268251802406967E-2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7B-4519-9493-63CE32732110}"/>
            </c:ext>
          </c:extLst>
        </c:ser>
        <c:ser>
          <c:idx val="1"/>
          <c:order val="1"/>
          <c:tx>
            <c:strRef>
              <c:f>kpi!$C$2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7B-4519-9493-63CE327321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7B-4519-9493-63CE32732110}"/>
                </c:ext>
              </c:extLst>
            </c:dLbl>
            <c:dLbl>
              <c:idx val="2"/>
              <c:layout>
                <c:manualLayout>
                  <c:x val="-1.8750000000000103E-2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7B-4519-9493-63CE32732110}"/>
                </c:ext>
              </c:extLst>
            </c:dLbl>
            <c:dLbl>
              <c:idx val="3"/>
              <c:layout>
                <c:manualLayout>
                  <c:x val="-1.8749999999999999E-2"/>
                  <c:y val="6.94517351997666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7B-4519-9493-63CE327321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F7B-4519-9493-63CE327321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kpi!$A$3:$A$7</c:f>
              <c:strCache>
                <c:ptCount val="5"/>
                <c:pt idx="0">
                  <c:v>Avg Daily Return</c:v>
                </c:pt>
                <c:pt idx="1">
                  <c:v>Avg Volatility</c:v>
                </c:pt>
                <c:pt idx="2">
                  <c:v>Highest Return</c:v>
                </c:pt>
                <c:pt idx="3">
                  <c:v>Lowest Return</c:v>
                </c:pt>
                <c:pt idx="4">
                  <c:v>Recent Volatility</c:v>
                </c:pt>
              </c:strCache>
            </c:strRef>
          </c:cat>
          <c:val>
            <c:numRef>
              <c:f>kpi!$C$3:$C$7</c:f>
              <c:numCache>
                <c:formatCode>0.00%</c:formatCode>
                <c:ptCount val="5"/>
                <c:pt idx="0">
                  <c:v>2.6465147231257056E-3</c:v>
                </c:pt>
                <c:pt idx="1">
                  <c:v>1.7351967793493493E-2</c:v>
                </c:pt>
                <c:pt idx="2">
                  <c:v>7.2434756796232458E-2</c:v>
                </c:pt>
                <c:pt idx="3">
                  <c:v>-2.6622654213366626E-2</c:v>
                </c:pt>
                <c:pt idx="4">
                  <c:v>3.3033033165613901E-2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7B-4519-9493-63CE32732110}"/>
            </c:ext>
          </c:extLst>
        </c:ser>
        <c:ser>
          <c:idx val="2"/>
          <c:order val="2"/>
          <c:tx>
            <c:strRef>
              <c:f>kpi!$D$2</c:f>
              <c:strCache>
                <c:ptCount val="1"/>
                <c:pt idx="0">
                  <c:v>Netflix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F7B-4519-9493-63CE327321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F7B-4519-9493-63CE32732110}"/>
                </c:ext>
              </c:extLst>
            </c:dLbl>
            <c:dLbl>
              <c:idx val="2"/>
              <c:layout>
                <c:manualLayout>
                  <c:x val="6.2500000000000003E-3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F7B-4519-9493-63CE32732110}"/>
                </c:ext>
              </c:extLst>
            </c:dLbl>
            <c:dLbl>
              <c:idx val="3"/>
              <c:layout>
                <c:manualLayout>
                  <c:x val="-1.0416666666666666E-2"/>
                  <c:y val="1.38892534266550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F7B-4519-9493-63CE327321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F7B-4519-9493-63CE327321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kpi!$A$3:$A$7</c:f>
              <c:strCache>
                <c:ptCount val="5"/>
                <c:pt idx="0">
                  <c:v>Avg Daily Return</c:v>
                </c:pt>
                <c:pt idx="1">
                  <c:v>Avg Volatility</c:v>
                </c:pt>
                <c:pt idx="2">
                  <c:v>Highest Return</c:v>
                </c:pt>
                <c:pt idx="3">
                  <c:v>Lowest Return</c:v>
                </c:pt>
                <c:pt idx="4">
                  <c:v>Recent Volatility</c:v>
                </c:pt>
              </c:strCache>
            </c:strRef>
          </c:cat>
          <c:val>
            <c:numRef>
              <c:f>kpi!$D$3:$D$7</c:f>
              <c:numCache>
                <c:formatCode>0.00%</c:formatCode>
                <c:ptCount val="5"/>
                <c:pt idx="0">
                  <c:v>-1.6763957898093052E-3</c:v>
                </c:pt>
                <c:pt idx="1">
                  <c:v>2.1235413126833531E-2</c:v>
                </c:pt>
                <c:pt idx="2">
                  <c:v>9.0064653863266564E-2</c:v>
                </c:pt>
                <c:pt idx="3">
                  <c:v>-4.493412034275146E-2</c:v>
                </c:pt>
                <c:pt idx="4">
                  <c:v>1.6697897914392031E-2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F7B-4519-9493-63CE32732110}"/>
            </c:ext>
          </c:extLst>
        </c:ser>
        <c:ser>
          <c:idx val="3"/>
          <c:order val="3"/>
          <c:tx>
            <c:strRef>
              <c:f>kpi!$E$2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F7B-4519-9493-63CE327321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F7B-4519-9493-63CE32732110}"/>
                </c:ext>
              </c:extLst>
            </c:dLbl>
            <c:dLbl>
              <c:idx val="2"/>
              <c:layout>
                <c:manualLayout>
                  <c:x val="1.6666666666666666E-2"/>
                  <c:y val="6.94444444444440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F7B-4519-9493-63CE327321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F7B-4519-9493-63CE327321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kpi!$A$3:$A$7</c:f>
              <c:strCache>
                <c:ptCount val="5"/>
                <c:pt idx="0">
                  <c:v>Avg Daily Return</c:v>
                </c:pt>
                <c:pt idx="1">
                  <c:v>Avg Volatility</c:v>
                </c:pt>
                <c:pt idx="2">
                  <c:v>Highest Return</c:v>
                </c:pt>
                <c:pt idx="3">
                  <c:v>Lowest Return</c:v>
                </c:pt>
                <c:pt idx="4">
                  <c:v>Recent Volatility</c:v>
                </c:pt>
              </c:strCache>
            </c:strRef>
          </c:cat>
          <c:val>
            <c:numRef>
              <c:f>kpi!$E$3:$E$7</c:f>
              <c:numCache>
                <c:formatCode>0.00%</c:formatCode>
                <c:ptCount val="5"/>
                <c:pt idx="0">
                  <c:v>-6.6809074976283025E-5</c:v>
                </c:pt>
                <c:pt idx="1">
                  <c:v>1.8307489145445967E-2</c:v>
                </c:pt>
                <c:pt idx="2">
                  <c:v>4.6815085450004235E-2</c:v>
                </c:pt>
                <c:pt idx="3">
                  <c:v>-7.441689047941813E-2</c:v>
                </c:pt>
                <c:pt idx="4">
                  <c:v>1.7423381332031928E-2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F7B-4519-9493-63CE327321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1"/>
        <c:overlap val="-27"/>
        <c:axId val="956728840"/>
        <c:axId val="1784446984"/>
      </c:barChart>
      <c:catAx>
        <c:axId val="95672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446984"/>
        <c:crosses val="autoZero"/>
        <c:auto val="1"/>
        <c:lblAlgn val="ctr"/>
        <c:lblOffset val="100"/>
        <c:noMultiLvlLbl val="0"/>
      </c:catAx>
      <c:valAx>
        <c:axId val="17844469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2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D4D4D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Price Trend Comparison(Adj close)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charts!$B$2:$B$63</c:f>
              <c:numCache>
                <c:formatCode>0.00</c:formatCode>
                <c:ptCount val="62"/>
                <c:pt idx="0">
                  <c:v>154.41423034667901</c:v>
                </c:pt>
                <c:pt idx="1">
                  <c:v>151.68840026855401</c:v>
                </c:pt>
                <c:pt idx="2">
                  <c:v>150.63999938964801</c:v>
                </c:pt>
                <c:pt idx="3">
                  <c:v>151.009994506835</c:v>
                </c:pt>
                <c:pt idx="4">
                  <c:v>153.850006103515</c:v>
                </c:pt>
                <c:pt idx="5">
                  <c:v>153.19999694824199</c:v>
                </c:pt>
                <c:pt idx="6">
                  <c:v>155.33000183105401</c:v>
                </c:pt>
                <c:pt idx="7">
                  <c:v>153.71000671386699</c:v>
                </c:pt>
                <c:pt idx="8">
                  <c:v>152.55000305175699</c:v>
                </c:pt>
                <c:pt idx="9">
                  <c:v>148.47999572753901</c:v>
                </c:pt>
                <c:pt idx="10">
                  <c:v>148.91000366210901</c:v>
                </c:pt>
                <c:pt idx="11">
                  <c:v>149.39999389648401</c:v>
                </c:pt>
                <c:pt idx="12">
                  <c:v>146.71000671386699</c:v>
                </c:pt>
                <c:pt idx="13">
                  <c:v>147.919998168945</c:v>
                </c:pt>
                <c:pt idx="14">
                  <c:v>147.41000366210901</c:v>
                </c:pt>
                <c:pt idx="15">
                  <c:v>145.30999755859301</c:v>
                </c:pt>
                <c:pt idx="16">
                  <c:v>145.91000366210901</c:v>
                </c:pt>
                <c:pt idx="17">
                  <c:v>151.02999877929599</c:v>
                </c:pt>
                <c:pt idx="18">
                  <c:v>153.83000183105401</c:v>
                </c:pt>
                <c:pt idx="19">
                  <c:v>151.600006103515</c:v>
                </c:pt>
                <c:pt idx="20">
                  <c:v>152.86999511718699</c:v>
                </c:pt>
                <c:pt idx="21">
                  <c:v>150.58999633789</c:v>
                </c:pt>
                <c:pt idx="22">
                  <c:v>148.5</c:v>
                </c:pt>
                <c:pt idx="23">
                  <c:v>150.47000122070301</c:v>
                </c:pt>
                <c:pt idx="24">
                  <c:v>152.58999633789</c:v>
                </c:pt>
                <c:pt idx="25">
                  <c:v>152.99000549316401</c:v>
                </c:pt>
                <c:pt idx="26">
                  <c:v>155.850006103515</c:v>
                </c:pt>
                <c:pt idx="27">
                  <c:v>155</c:v>
                </c:pt>
                <c:pt idx="28">
                  <c:v>157.39999389648401</c:v>
                </c:pt>
                <c:pt idx="29">
                  <c:v>159.27999877929599</c:v>
                </c:pt>
                <c:pt idx="30">
                  <c:v>157.83000183105401</c:v>
                </c:pt>
                <c:pt idx="31">
                  <c:v>158.92999267578099</c:v>
                </c:pt>
                <c:pt idx="32">
                  <c:v>160.25</c:v>
                </c:pt>
                <c:pt idx="33">
                  <c:v>158.27999877929599</c:v>
                </c:pt>
                <c:pt idx="34">
                  <c:v>157.64999389648401</c:v>
                </c:pt>
                <c:pt idx="35">
                  <c:v>160.77000427246</c:v>
                </c:pt>
                <c:pt idx="36">
                  <c:v>162.36000061035099</c:v>
                </c:pt>
                <c:pt idx="37">
                  <c:v>164.89999389648401</c:v>
                </c:pt>
                <c:pt idx="38">
                  <c:v>166.169998168945</c:v>
                </c:pt>
                <c:pt idx="39">
                  <c:v>165.63000488281199</c:v>
                </c:pt>
                <c:pt idx="40">
                  <c:v>163.759994506835</c:v>
                </c:pt>
                <c:pt idx="41">
                  <c:v>164.66000366210901</c:v>
                </c:pt>
                <c:pt idx="42">
                  <c:v>162.02999877929599</c:v>
                </c:pt>
                <c:pt idx="43">
                  <c:v>160.80000305175699</c:v>
                </c:pt>
                <c:pt idx="44">
                  <c:v>160.100006103515</c:v>
                </c:pt>
                <c:pt idx="45">
                  <c:v>165.55999755859301</c:v>
                </c:pt>
                <c:pt idx="46">
                  <c:v>165.21000671386699</c:v>
                </c:pt>
                <c:pt idx="47">
                  <c:v>165.22999572753901</c:v>
                </c:pt>
                <c:pt idx="48">
                  <c:v>166.47000122070301</c:v>
                </c:pt>
                <c:pt idx="49">
                  <c:v>167.63000488281199</c:v>
                </c:pt>
                <c:pt idx="50">
                  <c:v>166.64999389648401</c:v>
                </c:pt>
                <c:pt idx="51">
                  <c:v>165.02000427246</c:v>
                </c:pt>
                <c:pt idx="52">
                  <c:v>165.33000183105401</c:v>
                </c:pt>
                <c:pt idx="53">
                  <c:v>163.77000427246</c:v>
                </c:pt>
                <c:pt idx="54">
                  <c:v>163.759994506835</c:v>
                </c:pt>
                <c:pt idx="55">
                  <c:v>168.41000366210901</c:v>
                </c:pt>
                <c:pt idx="56">
                  <c:v>169.67999267578099</c:v>
                </c:pt>
                <c:pt idx="57">
                  <c:v>169.58999633789</c:v>
                </c:pt>
                <c:pt idx="58">
                  <c:v>168.53999328613199</c:v>
                </c:pt>
                <c:pt idx="59">
                  <c:v>167.44999694824199</c:v>
                </c:pt>
                <c:pt idx="60">
                  <c:v>165.78999328613199</c:v>
                </c:pt>
                <c:pt idx="61">
                  <c:v>173.57000732421801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9-427C-8CED-A0A483F6DC98}"/>
            </c:ext>
          </c:extLst>
        </c:ser>
        <c:ser>
          <c:idx val="1"/>
          <c:order val="1"/>
          <c:tx>
            <c:v>Microsoft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charts!$C$2:$C$63</c:f>
              <c:numCache>
                <c:formatCode>0.00</c:formatCode>
                <c:ptCount val="62"/>
                <c:pt idx="0">
                  <c:v>266.891510009765</c:v>
                </c:pt>
                <c:pt idx="1">
                  <c:v>266.06359863281199</c:v>
                </c:pt>
                <c:pt idx="2">
                  <c:v>262.96136474609301</c:v>
                </c:pt>
                <c:pt idx="3">
                  <c:v>262.44265747070301</c:v>
                </c:pt>
                <c:pt idx="4">
                  <c:v>270.64212036132801</c:v>
                </c:pt>
                <c:pt idx="5">
                  <c:v>271.49002075195301</c:v>
                </c:pt>
                <c:pt idx="6">
                  <c:v>269.32000732421801</c:v>
                </c:pt>
                <c:pt idx="7">
                  <c:v>262.14999389648398</c:v>
                </c:pt>
                <c:pt idx="8">
                  <c:v>258.05999755859301</c:v>
                </c:pt>
                <c:pt idx="9">
                  <c:v>252.669998168945</c:v>
                </c:pt>
                <c:pt idx="10">
                  <c:v>251.509994506835</c:v>
                </c:pt>
                <c:pt idx="11">
                  <c:v>254.77000427246</c:v>
                </c:pt>
                <c:pt idx="12">
                  <c:v>249.22000122070301</c:v>
                </c:pt>
                <c:pt idx="13">
                  <c:v>250.16000366210901</c:v>
                </c:pt>
                <c:pt idx="14">
                  <c:v>249.419998168945</c:v>
                </c:pt>
                <c:pt idx="15">
                  <c:v>246.27000427246</c:v>
                </c:pt>
                <c:pt idx="16">
                  <c:v>251.11000061035099</c:v>
                </c:pt>
                <c:pt idx="17">
                  <c:v>255.28999328613199</c:v>
                </c:pt>
                <c:pt idx="18">
                  <c:v>256.86999511718699</c:v>
                </c:pt>
                <c:pt idx="19">
                  <c:v>254.14999389648401</c:v>
                </c:pt>
                <c:pt idx="20">
                  <c:v>253.69999694824199</c:v>
                </c:pt>
                <c:pt idx="21">
                  <c:v>252.32000732421801</c:v>
                </c:pt>
                <c:pt idx="22">
                  <c:v>248.58999633789</c:v>
                </c:pt>
                <c:pt idx="23">
                  <c:v>253.919998168945</c:v>
                </c:pt>
                <c:pt idx="24">
                  <c:v>260.79000854492102</c:v>
                </c:pt>
                <c:pt idx="25">
                  <c:v>265.44000244140602</c:v>
                </c:pt>
                <c:pt idx="26">
                  <c:v>276.20001220703102</c:v>
                </c:pt>
                <c:pt idx="27">
                  <c:v>279.42999267578102</c:v>
                </c:pt>
                <c:pt idx="28">
                  <c:v>272.23001098632801</c:v>
                </c:pt>
                <c:pt idx="29">
                  <c:v>273.77999877929602</c:v>
                </c:pt>
                <c:pt idx="30">
                  <c:v>272.29000854492102</c:v>
                </c:pt>
                <c:pt idx="31">
                  <c:v>277.66000366210898</c:v>
                </c:pt>
                <c:pt idx="32">
                  <c:v>280.57000732421801</c:v>
                </c:pt>
                <c:pt idx="33">
                  <c:v>276.38000488281199</c:v>
                </c:pt>
                <c:pt idx="34">
                  <c:v>275.23001098632801</c:v>
                </c:pt>
                <c:pt idx="35">
                  <c:v>280.510009765625</c:v>
                </c:pt>
                <c:pt idx="36">
                  <c:v>284.04998779296801</c:v>
                </c:pt>
                <c:pt idx="37">
                  <c:v>288.29998779296801</c:v>
                </c:pt>
                <c:pt idx="38">
                  <c:v>287.23001098632801</c:v>
                </c:pt>
                <c:pt idx="39">
                  <c:v>287.17999267578102</c:v>
                </c:pt>
                <c:pt idx="40">
                  <c:v>284.33999633789</c:v>
                </c:pt>
                <c:pt idx="41">
                  <c:v>291.600006103515</c:v>
                </c:pt>
                <c:pt idx="42">
                  <c:v>289.39001464843699</c:v>
                </c:pt>
                <c:pt idx="43">
                  <c:v>282.829986572265</c:v>
                </c:pt>
                <c:pt idx="44">
                  <c:v>283.489990234375</c:v>
                </c:pt>
                <c:pt idx="45">
                  <c:v>289.83999633789</c:v>
                </c:pt>
                <c:pt idx="46">
                  <c:v>286.14001464843699</c:v>
                </c:pt>
                <c:pt idx="47">
                  <c:v>288.79998779296801</c:v>
                </c:pt>
                <c:pt idx="48">
                  <c:v>288.36999511718699</c:v>
                </c:pt>
                <c:pt idx="49">
                  <c:v>288.45001220703102</c:v>
                </c:pt>
                <c:pt idx="50">
                  <c:v>286.10998535156199</c:v>
                </c:pt>
                <c:pt idx="51">
                  <c:v>285.760009765625</c:v>
                </c:pt>
                <c:pt idx="52">
                  <c:v>281.76998901367102</c:v>
                </c:pt>
                <c:pt idx="53">
                  <c:v>275.42001342773398</c:v>
                </c:pt>
                <c:pt idx="54">
                  <c:v>295.36999511718699</c:v>
                </c:pt>
                <c:pt idx="55">
                  <c:v>304.829986572265</c:v>
                </c:pt>
                <c:pt idx="56">
                  <c:v>307.260009765625</c:v>
                </c:pt>
                <c:pt idx="57">
                  <c:v>305.55999755859301</c:v>
                </c:pt>
                <c:pt idx="58">
                  <c:v>305.41000366210898</c:v>
                </c:pt>
                <c:pt idx="59">
                  <c:v>304.39999389648398</c:v>
                </c:pt>
                <c:pt idx="60">
                  <c:v>305.41000366210898</c:v>
                </c:pt>
                <c:pt idx="61">
                  <c:v>310.64999389648398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9-427C-8CED-A0A483F6DC98}"/>
            </c:ext>
          </c:extLst>
        </c:ser>
        <c:ser>
          <c:idx val="2"/>
          <c:order val="2"/>
          <c:tx>
            <c:v>Netflix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charts!$D$2:$D$63</c:f>
              <c:numCache>
                <c:formatCode>0.00</c:formatCode>
                <c:ptCount val="62"/>
                <c:pt idx="0">
                  <c:v>362.95001220703102</c:v>
                </c:pt>
                <c:pt idx="1">
                  <c:v>366.829986572265</c:v>
                </c:pt>
                <c:pt idx="2">
                  <c:v>362.5</c:v>
                </c:pt>
                <c:pt idx="3">
                  <c:v>347.35998535156199</c:v>
                </c:pt>
                <c:pt idx="4">
                  <c:v>358.57000732421801</c:v>
                </c:pt>
                <c:pt idx="5">
                  <c:v>359.95999145507801</c:v>
                </c:pt>
                <c:pt idx="6">
                  <c:v>361.42001342773398</c:v>
                </c:pt>
                <c:pt idx="7">
                  <c:v>350.70999145507801</c:v>
                </c:pt>
                <c:pt idx="8">
                  <c:v>347.95999145507801</c:v>
                </c:pt>
                <c:pt idx="9">
                  <c:v>337.5</c:v>
                </c:pt>
                <c:pt idx="10">
                  <c:v>334.88000488281199</c:v>
                </c:pt>
                <c:pt idx="11">
                  <c:v>323.64999389648398</c:v>
                </c:pt>
                <c:pt idx="12">
                  <c:v>317.14999389648398</c:v>
                </c:pt>
                <c:pt idx="13">
                  <c:v>323.02999877929602</c:v>
                </c:pt>
                <c:pt idx="14">
                  <c:v>322.13000488281199</c:v>
                </c:pt>
                <c:pt idx="15">
                  <c:v>313.48001098632801</c:v>
                </c:pt>
                <c:pt idx="16">
                  <c:v>311.88000488281199</c:v>
                </c:pt>
                <c:pt idx="17">
                  <c:v>315.17999267578102</c:v>
                </c:pt>
                <c:pt idx="18">
                  <c:v>312.02999877929602</c:v>
                </c:pt>
                <c:pt idx="19">
                  <c:v>308.47000122070301</c:v>
                </c:pt>
                <c:pt idx="20">
                  <c:v>311.79000854492102</c:v>
                </c:pt>
                <c:pt idx="21">
                  <c:v>297.77999877929602</c:v>
                </c:pt>
                <c:pt idx="22">
                  <c:v>292.760009765625</c:v>
                </c:pt>
                <c:pt idx="23">
                  <c:v>293.510009765625</c:v>
                </c:pt>
                <c:pt idx="24">
                  <c:v>294.94000244140602</c:v>
                </c:pt>
                <c:pt idx="25">
                  <c:v>303.79000854492102</c:v>
                </c:pt>
                <c:pt idx="26">
                  <c:v>310.05999755859301</c:v>
                </c:pt>
                <c:pt idx="27">
                  <c:v>303.5</c:v>
                </c:pt>
                <c:pt idx="28">
                  <c:v>305.13000488281199</c:v>
                </c:pt>
                <c:pt idx="29">
                  <c:v>305.79000854492102</c:v>
                </c:pt>
                <c:pt idx="30">
                  <c:v>293.89999389648398</c:v>
                </c:pt>
                <c:pt idx="31">
                  <c:v>320.36999511718699</c:v>
                </c:pt>
                <c:pt idx="32">
                  <c:v>328.39001464843699</c:v>
                </c:pt>
                <c:pt idx="33">
                  <c:v>327.66000366210898</c:v>
                </c:pt>
                <c:pt idx="34">
                  <c:v>323.51998901367102</c:v>
                </c:pt>
                <c:pt idx="35">
                  <c:v>332.02999877929602</c:v>
                </c:pt>
                <c:pt idx="36">
                  <c:v>338.42999267578102</c:v>
                </c:pt>
                <c:pt idx="37">
                  <c:v>345.48001098632801</c:v>
                </c:pt>
                <c:pt idx="38">
                  <c:v>348.27999877929602</c:v>
                </c:pt>
                <c:pt idx="39">
                  <c:v>346.75</c:v>
                </c:pt>
                <c:pt idx="40">
                  <c:v>342.350006103515</c:v>
                </c:pt>
                <c:pt idx="41">
                  <c:v>339.329986572265</c:v>
                </c:pt>
                <c:pt idx="42">
                  <c:v>338.989990234375</c:v>
                </c:pt>
                <c:pt idx="43">
                  <c:v>338.20999145507801</c:v>
                </c:pt>
                <c:pt idx="44">
                  <c:v>331.02999877929602</c:v>
                </c:pt>
                <c:pt idx="45">
                  <c:v>346.19000244140602</c:v>
                </c:pt>
                <c:pt idx="46">
                  <c:v>338.63000488281199</c:v>
                </c:pt>
                <c:pt idx="47">
                  <c:v>332.72000122070301</c:v>
                </c:pt>
                <c:pt idx="48">
                  <c:v>333.70001220703102</c:v>
                </c:pt>
                <c:pt idx="49">
                  <c:v>323.11999511718699</c:v>
                </c:pt>
                <c:pt idx="50">
                  <c:v>325.350006103515</c:v>
                </c:pt>
                <c:pt idx="51">
                  <c:v>327.98001098632801</c:v>
                </c:pt>
                <c:pt idx="52">
                  <c:v>329.01998901367102</c:v>
                </c:pt>
                <c:pt idx="53">
                  <c:v>322.54998779296801</c:v>
                </c:pt>
                <c:pt idx="54">
                  <c:v>321.14999389648398</c:v>
                </c:pt>
                <c:pt idx="55">
                  <c:v>325.850006103515</c:v>
                </c:pt>
                <c:pt idx="56">
                  <c:v>329.92999267578102</c:v>
                </c:pt>
                <c:pt idx="57">
                  <c:v>324.11999511718699</c:v>
                </c:pt>
                <c:pt idx="58">
                  <c:v>317.54998779296801</c:v>
                </c:pt>
                <c:pt idx="59">
                  <c:v>319.29998779296801</c:v>
                </c:pt>
                <c:pt idx="60">
                  <c:v>320.77999877929602</c:v>
                </c:pt>
                <c:pt idx="61">
                  <c:v>322.760009765625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9-427C-8CED-A0A483F6DC98}"/>
            </c:ext>
          </c:extLst>
        </c:ser>
        <c:ser>
          <c:idx val="3"/>
          <c:order val="3"/>
          <c:tx>
            <c:v>Google</c:v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charts!$E$2:$E$63</c:f>
              <c:numCache>
                <c:formatCode>0.00</c:formatCode>
                <c:ptCount val="62"/>
                <c:pt idx="0">
                  <c:v>108.040000915527</c:v>
                </c:pt>
                <c:pt idx="1">
                  <c:v>100</c:v>
                </c:pt>
                <c:pt idx="2">
                  <c:v>95.459999084472599</c:v>
                </c:pt>
                <c:pt idx="3">
                  <c:v>94.860000610351506</c:v>
                </c:pt>
                <c:pt idx="4">
                  <c:v>95</c:v>
                </c:pt>
                <c:pt idx="5">
                  <c:v>94.949996948242102</c:v>
                </c:pt>
                <c:pt idx="6">
                  <c:v>97.099998474121094</c:v>
                </c:pt>
                <c:pt idx="7">
                  <c:v>95.779998779296804</c:v>
                </c:pt>
                <c:pt idx="8">
                  <c:v>94.589996337890597</c:v>
                </c:pt>
                <c:pt idx="9">
                  <c:v>92.050003051757798</c:v>
                </c:pt>
                <c:pt idx="10">
                  <c:v>91.800003051757798</c:v>
                </c:pt>
                <c:pt idx="11">
                  <c:v>91.069999694824205</c:v>
                </c:pt>
                <c:pt idx="12">
                  <c:v>89.349998474121094</c:v>
                </c:pt>
                <c:pt idx="13">
                  <c:v>90.099998474121094</c:v>
                </c:pt>
                <c:pt idx="14">
                  <c:v>90.300003051757798</c:v>
                </c:pt>
                <c:pt idx="15">
                  <c:v>90.510002136230398</c:v>
                </c:pt>
                <c:pt idx="16">
                  <c:v>92.309997558593693</c:v>
                </c:pt>
                <c:pt idx="17">
                  <c:v>94.019996643066406</c:v>
                </c:pt>
                <c:pt idx="18">
                  <c:v>95.580001831054602</c:v>
                </c:pt>
                <c:pt idx="19">
                  <c:v>94.169998168945298</c:v>
                </c:pt>
                <c:pt idx="20">
                  <c:v>94.650001525878906</c:v>
                </c:pt>
                <c:pt idx="21">
                  <c:v>92.660003662109304</c:v>
                </c:pt>
                <c:pt idx="22">
                  <c:v>91.010002136230398</c:v>
                </c:pt>
                <c:pt idx="23">
                  <c:v>91.660003662109304</c:v>
                </c:pt>
                <c:pt idx="24">
                  <c:v>94.25</c:v>
                </c:pt>
                <c:pt idx="25">
                  <c:v>96.550003051757798</c:v>
                </c:pt>
                <c:pt idx="26">
                  <c:v>101.06999969482401</c:v>
                </c:pt>
                <c:pt idx="27">
                  <c:v>102.459999084472</c:v>
                </c:pt>
                <c:pt idx="28">
                  <c:v>101.930000305175</c:v>
                </c:pt>
                <c:pt idx="29">
                  <c:v>105.83999633789</c:v>
                </c:pt>
                <c:pt idx="30">
                  <c:v>104.220001220703</c:v>
                </c:pt>
                <c:pt idx="31">
                  <c:v>106.26000213623</c:v>
                </c:pt>
                <c:pt idx="32">
                  <c:v>106.059997558593</c:v>
                </c:pt>
                <c:pt idx="33">
                  <c:v>103.059997558593</c:v>
                </c:pt>
                <c:pt idx="34">
                  <c:v>101.36000061035099</c:v>
                </c:pt>
                <c:pt idx="35">
                  <c:v>101.900001525878</c:v>
                </c:pt>
                <c:pt idx="36">
                  <c:v>101.31999969482401</c:v>
                </c:pt>
                <c:pt idx="37">
                  <c:v>104</c:v>
                </c:pt>
                <c:pt idx="38">
                  <c:v>104.91000366210901</c:v>
                </c:pt>
                <c:pt idx="39">
                  <c:v>105.120002746582</c:v>
                </c:pt>
                <c:pt idx="40">
                  <c:v>104.949996948242</c:v>
                </c:pt>
                <c:pt idx="41">
                  <c:v>108.900001525878</c:v>
                </c:pt>
                <c:pt idx="42">
                  <c:v>106.949996948242</c:v>
                </c:pt>
                <c:pt idx="43">
                  <c:v>106.120002746582</c:v>
                </c:pt>
                <c:pt idx="44">
                  <c:v>105.220001220703</c:v>
                </c:pt>
                <c:pt idx="45">
                  <c:v>108.19000244140599</c:v>
                </c:pt>
                <c:pt idx="46">
                  <c:v>109.459999084472</c:v>
                </c:pt>
                <c:pt idx="47">
                  <c:v>106.419998168945</c:v>
                </c:pt>
                <c:pt idx="48">
                  <c:v>105.120002746582</c:v>
                </c:pt>
                <c:pt idx="49">
                  <c:v>105.01999664306599</c:v>
                </c:pt>
                <c:pt idx="50">
                  <c:v>105.900001525878</c:v>
                </c:pt>
                <c:pt idx="51">
                  <c:v>105.91000366210901</c:v>
                </c:pt>
                <c:pt idx="52">
                  <c:v>106.77999877929599</c:v>
                </c:pt>
                <c:pt idx="53">
                  <c:v>104.61000061035099</c:v>
                </c:pt>
                <c:pt idx="54">
                  <c:v>104.449996948242</c:v>
                </c:pt>
                <c:pt idx="55">
                  <c:v>108.370002746582</c:v>
                </c:pt>
                <c:pt idx="56">
                  <c:v>108.220001220703</c:v>
                </c:pt>
                <c:pt idx="57">
                  <c:v>107.709999084472</c:v>
                </c:pt>
                <c:pt idx="58">
                  <c:v>105.980003356933</c:v>
                </c:pt>
                <c:pt idx="59">
                  <c:v>106.120002746582</c:v>
                </c:pt>
                <c:pt idx="60">
                  <c:v>105.209999084472</c:v>
                </c:pt>
                <c:pt idx="61">
                  <c:v>106.21499633789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A9-427C-8CED-A0A483F6D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240200"/>
        <c:axId val="767246344"/>
      </c:lineChart>
      <c:dateAx>
        <c:axId val="767240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46344"/>
        <c:crosses val="autoZero"/>
        <c:auto val="1"/>
        <c:lblOffset val="100"/>
        <c:baseTimeUnit val="days"/>
      </c:dateAx>
      <c:valAx>
        <c:axId val="76724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Adjusted Close Price (USD)</a:t>
                </a:r>
              </a:p>
            </c:rich>
          </c:tx>
          <c:layout>
            <c:manualLayout>
              <c:xMode val="edge"/>
              <c:yMode val="edge"/>
              <c:x val="1.7874396135265709E-2"/>
              <c:y val="0.15739734299516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4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C8C8C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7-Day Moving Average Trend Comparison</a:t>
            </a:r>
          </a:p>
        </c:rich>
      </c:tx>
      <c:layout>
        <c:manualLayout>
          <c:xMode val="edge"/>
          <c:yMode val="edge"/>
          <c:x val="0.198675101509747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charts!$K$2:$K$63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152.87608991350385</c:v>
                </c:pt>
                <c:pt idx="7" formatCode="0.00">
                  <c:v>152.77548653738785</c:v>
                </c:pt>
                <c:pt idx="8" formatCode="0.00">
                  <c:v>152.898572649274</c:v>
                </c:pt>
                <c:pt idx="9" formatCode="0.00">
                  <c:v>152.59000069754413</c:v>
                </c:pt>
                <c:pt idx="10" formatCode="0.00">
                  <c:v>152.29000200544041</c:v>
                </c:pt>
                <c:pt idx="11" formatCode="0.00">
                  <c:v>151.65428597586455</c:v>
                </c:pt>
                <c:pt idx="12" formatCode="0.00">
                  <c:v>150.727144513811</c:v>
                </c:pt>
                <c:pt idx="13" formatCode="0.00">
                  <c:v>149.66857256208115</c:v>
                </c:pt>
                <c:pt idx="14" formatCode="0.00">
                  <c:v>148.76857212611571</c:v>
                </c:pt>
                <c:pt idx="15" formatCode="0.00">
                  <c:v>147.73428562709228</c:v>
                </c:pt>
                <c:pt idx="16" formatCode="0.00">
                  <c:v>147.36714390345944</c:v>
                </c:pt>
                <c:pt idx="17" formatCode="0.00">
                  <c:v>147.67000034877188</c:v>
                </c:pt>
                <c:pt idx="18" formatCode="0.00">
                  <c:v>148.30285862513898</c:v>
                </c:pt>
                <c:pt idx="19" formatCode="0.00">
                  <c:v>149.00142996651726</c:v>
                </c:pt>
                <c:pt idx="20" formatCode="0.00">
                  <c:v>149.70857238769472</c:v>
                </c:pt>
                <c:pt idx="21" formatCode="0.00">
                  <c:v>150.16285705566341</c:v>
                </c:pt>
                <c:pt idx="22" formatCode="0.00">
                  <c:v>150.61857169015016</c:v>
                </c:pt>
                <c:pt idx="23" formatCode="0.00">
                  <c:v>151.26999991280641</c:v>
                </c:pt>
                <c:pt idx="24" formatCode="0.00">
                  <c:v>151.49285670689127</c:v>
                </c:pt>
                <c:pt idx="25" formatCode="0.00">
                  <c:v>151.37285723004987</c:v>
                </c:pt>
                <c:pt idx="26" formatCode="0.00">
                  <c:v>151.98000008719274</c:v>
                </c:pt>
                <c:pt idx="27" formatCode="0.00">
                  <c:v>152.28428649902315</c:v>
                </c:pt>
                <c:pt idx="28" formatCode="0.00">
                  <c:v>153.25714329310799</c:v>
                </c:pt>
                <c:pt idx="29" formatCode="0.00">
                  <c:v>154.79714311872175</c:v>
                </c:pt>
                <c:pt idx="30" formatCode="0.00">
                  <c:v>155.8485717773433</c:v>
                </c:pt>
                <c:pt idx="31" formatCode="0.00">
                  <c:v>156.75428553989914</c:v>
                </c:pt>
                <c:pt idx="32" formatCode="0.00">
                  <c:v>157.79142761230429</c:v>
                </c:pt>
                <c:pt idx="33" formatCode="0.00">
                  <c:v>158.13856942313015</c:v>
                </c:pt>
                <c:pt idx="34" formatCode="0.00">
                  <c:v>158.51713997977072</c:v>
                </c:pt>
                <c:pt idx="35" formatCode="0.00">
                  <c:v>158.99857003348157</c:v>
                </c:pt>
                <c:pt idx="36" formatCode="0.00">
                  <c:v>159.43857029506086</c:v>
                </c:pt>
                <c:pt idx="37" formatCode="0.00">
                  <c:v>160.44856916155086</c:v>
                </c:pt>
                <c:pt idx="38" formatCode="0.00">
                  <c:v>161.4828556605743</c:v>
                </c:pt>
                <c:pt idx="39" formatCode="0.00">
                  <c:v>162.2514277866903</c:v>
                </c:pt>
                <c:pt idx="40" formatCode="0.00">
                  <c:v>163.03428431919585</c:v>
                </c:pt>
                <c:pt idx="41" formatCode="0.00">
                  <c:v>164.03571428571371</c:v>
                </c:pt>
                <c:pt idx="42" formatCode="0.00">
                  <c:v>164.21571350097602</c:v>
                </c:pt>
                <c:pt idx="43" formatCode="0.00">
                  <c:v>163.99285670689113</c:v>
                </c:pt>
                <c:pt idx="44" formatCode="0.00">
                  <c:v>163.30714416503844</c:v>
                </c:pt>
                <c:pt idx="45" formatCode="0.00">
                  <c:v>163.22000122070244</c:v>
                </c:pt>
                <c:pt idx="46" formatCode="0.00">
                  <c:v>163.16000148228173</c:v>
                </c:pt>
                <c:pt idx="47" formatCode="0.00">
                  <c:v>163.37000165666799</c:v>
                </c:pt>
                <c:pt idx="48" formatCode="0.00">
                  <c:v>163.62857273646711</c:v>
                </c:pt>
                <c:pt idx="49" formatCode="0.00">
                  <c:v>164.42857360839798</c:v>
                </c:pt>
                <c:pt idx="50" formatCode="0.00">
                  <c:v>165.26428658621612</c:v>
                </c:pt>
                <c:pt idx="51" formatCode="0.00">
                  <c:v>165.967143467494</c:v>
                </c:pt>
                <c:pt idx="52" formatCode="0.00">
                  <c:v>165.93428693498845</c:v>
                </c:pt>
                <c:pt idx="53" formatCode="0.00">
                  <c:v>165.72857230050172</c:v>
                </c:pt>
                <c:pt idx="54" formatCode="0.00">
                  <c:v>165.51857212611543</c:v>
                </c:pt>
                <c:pt idx="55" formatCode="0.00">
                  <c:v>165.79571533203057</c:v>
                </c:pt>
                <c:pt idx="56" formatCode="0.00">
                  <c:v>166.08857073102612</c:v>
                </c:pt>
                <c:pt idx="57" formatCode="0.00">
                  <c:v>166.50857107979846</c:v>
                </c:pt>
                <c:pt idx="58" formatCode="0.00">
                  <c:v>167.01142665318017</c:v>
                </c:pt>
                <c:pt idx="59" formatCode="0.00">
                  <c:v>167.31428309849272</c:v>
                </c:pt>
                <c:pt idx="60" formatCode="0.00">
                  <c:v>167.60285295758871</c:v>
                </c:pt>
                <c:pt idx="61" formatCode="0.00">
                  <c:v>169.00428336007198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3-435F-A57A-E86385A4A277}"/>
            </c:ext>
          </c:extLst>
        </c:ser>
        <c:ser>
          <c:idx val="1"/>
          <c:order val="1"/>
          <c:tx>
            <c:v>Microsoft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charts!$L$2:$L$63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267.11589704241038</c:v>
                </c:pt>
                <c:pt idx="7" formatCode="0.00">
                  <c:v>266.43853759765591</c:v>
                </c:pt>
                <c:pt idx="8" formatCode="0.00">
                  <c:v>265.2951660156246</c:v>
                </c:pt>
                <c:pt idx="9" formatCode="0.00">
                  <c:v>263.82497079031771</c:v>
                </c:pt>
                <c:pt idx="10" formatCode="0.00">
                  <c:v>262.26316179547945</c:v>
                </c:pt>
                <c:pt idx="11" formatCode="0.00">
                  <c:v>259.99571663992685</c:v>
                </c:pt>
                <c:pt idx="12" formatCode="0.00">
                  <c:v>256.81428527831974</c:v>
                </c:pt>
                <c:pt idx="13" formatCode="0.00">
                  <c:v>254.0771418980184</c:v>
                </c:pt>
                <c:pt idx="14" formatCode="0.00">
                  <c:v>252.2585710797986</c:v>
                </c:pt>
                <c:pt idx="15" formatCode="0.00">
                  <c:v>250.57428632463672</c:v>
                </c:pt>
                <c:pt idx="16" formatCode="0.00">
                  <c:v>250.35142953055188</c:v>
                </c:pt>
                <c:pt idx="17" formatCode="0.00">
                  <c:v>250.8914293561657</c:v>
                </c:pt>
                <c:pt idx="18" formatCode="0.00">
                  <c:v>251.19142804826956</c:v>
                </c:pt>
                <c:pt idx="19" formatCode="0.00">
                  <c:v>251.89571271623828</c:v>
                </c:pt>
                <c:pt idx="20" formatCode="0.00">
                  <c:v>252.40142604282869</c:v>
                </c:pt>
                <c:pt idx="21" formatCode="0.00">
                  <c:v>252.81571306501058</c:v>
                </c:pt>
                <c:pt idx="22" formatCode="0.00">
                  <c:v>253.14714050292918</c:v>
                </c:pt>
                <c:pt idx="23" formatCode="0.00">
                  <c:v>253.54856872558543</c:v>
                </c:pt>
                <c:pt idx="24" formatCode="0.00">
                  <c:v>254.33428519112672</c:v>
                </c:pt>
                <c:pt idx="25" formatCode="0.00">
                  <c:v>255.55857195172942</c:v>
                </c:pt>
                <c:pt idx="26" formatCode="0.00">
                  <c:v>258.70857456752185</c:v>
                </c:pt>
                <c:pt idx="27" formatCode="0.00">
                  <c:v>262.38428824288457</c:v>
                </c:pt>
                <c:pt idx="28" formatCode="0.00">
                  <c:v>265.22857448032886</c:v>
                </c:pt>
                <c:pt idx="29" formatCode="0.00">
                  <c:v>268.82714625767261</c:v>
                </c:pt>
                <c:pt idx="30" formatCode="0.00">
                  <c:v>271.45143345424054</c:v>
                </c:pt>
                <c:pt idx="31" formatCode="0.00">
                  <c:v>273.86143275669599</c:v>
                </c:pt>
                <c:pt idx="32" formatCode="0.00">
                  <c:v>276.02286202566916</c:v>
                </c:pt>
                <c:pt idx="33" formatCode="0.00">
                  <c:v>276.04857526506646</c:v>
                </c:pt>
                <c:pt idx="34" formatCode="0.00">
                  <c:v>275.44857788085886</c:v>
                </c:pt>
                <c:pt idx="35" formatCode="0.00">
                  <c:v>276.63143484932988</c:v>
                </c:pt>
                <c:pt idx="36" formatCode="0.00">
                  <c:v>278.09857613699728</c:v>
                </c:pt>
                <c:pt idx="37" formatCode="0.00">
                  <c:v>280.38571602957546</c:v>
                </c:pt>
                <c:pt idx="38" formatCode="0.00">
                  <c:v>281.75285993303532</c:v>
                </c:pt>
                <c:pt idx="39" formatCode="0.00">
                  <c:v>282.69714355468716</c:v>
                </c:pt>
                <c:pt idx="40" formatCode="0.00">
                  <c:v>283.83428519112687</c:v>
                </c:pt>
                <c:pt idx="41" formatCode="0.00">
                  <c:v>286.17285592215359</c:v>
                </c:pt>
                <c:pt idx="42" formatCode="0.00">
                  <c:v>287.44142804826959</c:v>
                </c:pt>
                <c:pt idx="43" formatCode="0.00">
                  <c:v>287.26714215959771</c:v>
                </c:pt>
                <c:pt idx="44" formatCode="0.00">
                  <c:v>286.5799996512273</c:v>
                </c:pt>
                <c:pt idx="45" formatCode="0.00">
                  <c:v>286.95285470145041</c:v>
                </c:pt>
                <c:pt idx="46" formatCode="0.00">
                  <c:v>286.80428641182982</c:v>
                </c:pt>
                <c:pt idx="47" formatCode="0.00">
                  <c:v>287.44142804826959</c:v>
                </c:pt>
                <c:pt idx="48" formatCode="0.00">
                  <c:v>286.9799979073656</c:v>
                </c:pt>
                <c:pt idx="49" formatCode="0.00">
                  <c:v>286.84571184430757</c:v>
                </c:pt>
                <c:pt idx="50" formatCode="0.00">
                  <c:v>287.31428309849287</c:v>
                </c:pt>
                <c:pt idx="51" formatCode="0.00">
                  <c:v>287.63857160295714</c:v>
                </c:pt>
                <c:pt idx="52" formatCode="0.00">
                  <c:v>286.485713413783</c:v>
                </c:pt>
                <c:pt idx="53" formatCode="0.00">
                  <c:v>284.95428466796824</c:v>
                </c:pt>
                <c:pt idx="54" formatCode="0.00">
                  <c:v>285.89285714285671</c:v>
                </c:pt>
                <c:pt idx="55" formatCode="0.00">
                  <c:v>288.24428449358214</c:v>
                </c:pt>
                <c:pt idx="56" formatCode="0.00">
                  <c:v>290.93142700195273</c:v>
                </c:pt>
                <c:pt idx="57" formatCode="0.00">
                  <c:v>293.7100001743857</c:v>
                </c:pt>
                <c:pt idx="58" formatCode="0.00">
                  <c:v>296.51714215959771</c:v>
                </c:pt>
                <c:pt idx="59" formatCode="0.00">
                  <c:v>299.74999999999955</c:v>
                </c:pt>
                <c:pt idx="60" formatCode="0.00">
                  <c:v>304.03428431919599</c:v>
                </c:pt>
                <c:pt idx="61" formatCode="0.00">
                  <c:v>306.21714128766695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3-435F-A57A-E86385A4A277}"/>
            </c:ext>
          </c:extLst>
        </c:ser>
        <c:ser>
          <c:idx val="2"/>
          <c:order val="2"/>
          <c:tx>
            <c:v>Netflix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charts!$M$2:$M$63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359.9414280482697</c:v>
                </c:pt>
                <c:pt idx="7" formatCode="0.00">
                  <c:v>358.1928536551336</c:v>
                </c:pt>
                <c:pt idx="8" formatCode="0.00">
                  <c:v>355.49714006696405</c:v>
                </c:pt>
                <c:pt idx="9" formatCode="0.00">
                  <c:v>351.92571149553544</c:v>
                </c:pt>
                <c:pt idx="10" formatCode="0.00">
                  <c:v>350.14285714285688</c:v>
                </c:pt>
                <c:pt idx="11" formatCode="0.00">
                  <c:v>345.15428379603776</c:v>
                </c:pt>
                <c:pt idx="12" formatCode="0.00">
                  <c:v>339.03856985909573</c:v>
                </c:pt>
                <c:pt idx="13" formatCode="0.00">
                  <c:v>333.55428205217601</c:v>
                </c:pt>
                <c:pt idx="14" formatCode="0.00">
                  <c:v>329.47142682756652</c:v>
                </c:pt>
                <c:pt idx="15" formatCode="0.00">
                  <c:v>324.54571533203085</c:v>
                </c:pt>
                <c:pt idx="16" formatCode="0.00">
                  <c:v>320.88571602957546</c:v>
                </c:pt>
                <c:pt idx="17" formatCode="0.00">
                  <c:v>318.07142857142816</c:v>
                </c:pt>
                <c:pt idx="18" formatCode="0.00">
                  <c:v>316.41142926897277</c:v>
                </c:pt>
                <c:pt idx="19" formatCode="0.00">
                  <c:v>315.17143031528974</c:v>
                </c:pt>
                <c:pt idx="20" formatCode="0.00">
                  <c:v>313.56571742466474</c:v>
                </c:pt>
                <c:pt idx="21" formatCode="0.00">
                  <c:v>310.08714512416242</c:v>
                </c:pt>
                <c:pt idx="22" formatCode="0.00">
                  <c:v>307.12714494977627</c:v>
                </c:pt>
                <c:pt idx="23" formatCode="0.00">
                  <c:v>304.50285993303532</c:v>
                </c:pt>
                <c:pt idx="24" formatCode="0.00">
                  <c:v>301.61143275669605</c:v>
                </c:pt>
                <c:pt idx="25" formatCode="0.00">
                  <c:v>300.43429129464249</c:v>
                </c:pt>
                <c:pt idx="26" formatCode="0.00">
                  <c:v>300.6614336286267</c:v>
                </c:pt>
                <c:pt idx="27" formatCode="0.00">
                  <c:v>299.47714669363802</c:v>
                </c:pt>
                <c:pt idx="28" formatCode="0.00">
                  <c:v>300.5271475655689</c:v>
                </c:pt>
                <c:pt idx="29" formatCode="0.00">
                  <c:v>302.38857596261113</c:v>
                </c:pt>
                <c:pt idx="30" formatCode="0.00">
                  <c:v>302.44428798130531</c:v>
                </c:pt>
                <c:pt idx="31" formatCode="0.00">
                  <c:v>306.07714407784539</c:v>
                </c:pt>
                <c:pt idx="32" formatCode="0.00">
                  <c:v>309.59143066406199</c:v>
                </c:pt>
                <c:pt idx="33" formatCode="0.00">
                  <c:v>312.10571725027859</c:v>
                </c:pt>
                <c:pt idx="34" formatCode="0.00">
                  <c:v>314.96571568080299</c:v>
                </c:pt>
                <c:pt idx="35" formatCode="0.00">
                  <c:v>318.80857195172928</c:v>
                </c:pt>
                <c:pt idx="36" formatCode="0.00">
                  <c:v>323.47142682756646</c:v>
                </c:pt>
                <c:pt idx="37" formatCode="0.00">
                  <c:v>330.8400006975441</c:v>
                </c:pt>
                <c:pt idx="38" formatCode="0.00">
                  <c:v>334.82714407784539</c:v>
                </c:pt>
                <c:pt idx="39" formatCode="0.00">
                  <c:v>337.44999912806873</c:v>
                </c:pt>
                <c:pt idx="40" formatCode="0.00">
                  <c:v>339.54857090541242</c:v>
                </c:pt>
                <c:pt idx="41" formatCode="0.00">
                  <c:v>341.80714198521162</c:v>
                </c:pt>
                <c:pt idx="42" formatCode="0.00">
                  <c:v>342.80142647879433</c:v>
                </c:pt>
                <c:pt idx="43" formatCode="0.00">
                  <c:v>342.76999773297956</c:v>
                </c:pt>
                <c:pt idx="44" formatCode="0.00">
                  <c:v>340.70571027483214</c:v>
                </c:pt>
                <c:pt idx="45" formatCode="0.00">
                  <c:v>340.40713936941927</c:v>
                </c:pt>
                <c:pt idx="46" formatCode="0.00">
                  <c:v>339.24714006696382</c:v>
                </c:pt>
                <c:pt idx="47" formatCode="0.00">
                  <c:v>337.87142508370505</c:v>
                </c:pt>
                <c:pt idx="48" formatCode="0.00">
                  <c:v>337.06714303152876</c:v>
                </c:pt>
                <c:pt idx="49" formatCode="0.00">
                  <c:v>334.80000087193042</c:v>
                </c:pt>
                <c:pt idx="50" formatCode="0.00">
                  <c:v>332.96286010742142</c:v>
                </c:pt>
                <c:pt idx="51" formatCode="0.00">
                  <c:v>332.5271475655689</c:v>
                </c:pt>
                <c:pt idx="52" formatCode="0.00">
                  <c:v>330.07428850446382</c:v>
                </c:pt>
                <c:pt idx="53" formatCode="0.00">
                  <c:v>327.77714320591468</c:v>
                </c:pt>
                <c:pt idx="54" formatCode="0.00">
                  <c:v>326.1242850167406</c:v>
                </c:pt>
                <c:pt idx="55" formatCode="0.00">
                  <c:v>325.00285557338117</c:v>
                </c:pt>
                <c:pt idx="56" formatCode="0.00">
                  <c:v>325.97571236746597</c:v>
                </c:pt>
                <c:pt idx="57" formatCode="0.00">
                  <c:v>325.79999651227627</c:v>
                </c:pt>
                <c:pt idx="58" formatCode="0.00">
                  <c:v>324.30999319893914</c:v>
                </c:pt>
                <c:pt idx="59" formatCode="0.00">
                  <c:v>322.92142159598154</c:v>
                </c:pt>
                <c:pt idx="60" formatCode="0.00">
                  <c:v>322.66856602259986</c:v>
                </c:pt>
                <c:pt idx="61" formatCode="0.00">
                  <c:v>322.89856828962002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3-435F-A57A-E86385A4A277}"/>
            </c:ext>
          </c:extLst>
        </c:ser>
        <c:ser>
          <c:idx val="3"/>
          <c:order val="3"/>
          <c:tx>
            <c:v>Google</c:v>
          </c:tx>
          <c:spPr>
            <a:ln w="28575" cap="rnd">
              <a:solidFill>
                <a:srgbClr val="FFCA2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charts!$N$2:$N$63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97.915713718959182</c:v>
                </c:pt>
                <c:pt idx="7" formatCode="0.00">
                  <c:v>96.16428484235486</c:v>
                </c:pt>
                <c:pt idx="8" formatCode="0.00">
                  <c:v>95.391427176339235</c:v>
                </c:pt>
                <c:pt idx="9" formatCode="0.00">
                  <c:v>94.904284885951412</c:v>
                </c:pt>
                <c:pt idx="10" formatCode="0.00">
                  <c:v>94.467142377580885</c:v>
                </c:pt>
                <c:pt idx="11" formatCode="0.00">
                  <c:v>93.905713762555777</c:v>
                </c:pt>
                <c:pt idx="12" formatCode="0.00">
                  <c:v>93.105713980538482</c:v>
                </c:pt>
                <c:pt idx="13" formatCode="0.00">
                  <c:v>92.105713980538482</c:v>
                </c:pt>
                <c:pt idx="14" formatCode="0.00">
                  <c:v>91.32285744803292</c:v>
                </c:pt>
                <c:pt idx="15" formatCode="0.00">
                  <c:v>90.740001133510006</c:v>
                </c:pt>
                <c:pt idx="16" formatCode="0.00">
                  <c:v>90.777143205915152</c:v>
                </c:pt>
                <c:pt idx="17" formatCode="0.00">
                  <c:v>91.09428514753067</c:v>
                </c:pt>
                <c:pt idx="18" formatCode="0.00">
                  <c:v>91.738571166992159</c:v>
                </c:pt>
                <c:pt idx="19" formatCode="0.00">
                  <c:v>92.427142551967037</c:v>
                </c:pt>
                <c:pt idx="20" formatCode="0.00">
                  <c:v>93.077142987932447</c:v>
                </c:pt>
                <c:pt idx="21" formatCode="0.00">
                  <c:v>93.414285932268371</c:v>
                </c:pt>
                <c:pt idx="22" formatCode="0.00">
                  <c:v>93.48571450369694</c:v>
                </c:pt>
                <c:pt idx="23" formatCode="0.00">
                  <c:v>93.392858232770593</c:v>
                </c:pt>
                <c:pt idx="24" formatCode="0.00">
                  <c:v>93.425715855189679</c:v>
                </c:pt>
                <c:pt idx="25" formatCode="0.00">
                  <c:v>93.564287458147291</c:v>
                </c:pt>
                <c:pt idx="26" formatCode="0.00">
                  <c:v>94.550001961844245</c:v>
                </c:pt>
                <c:pt idx="27" formatCode="0.00">
                  <c:v>95.665715898786104</c:v>
                </c:pt>
                <c:pt idx="28" formatCode="0.00">
                  <c:v>96.990001133509779</c:v>
                </c:pt>
                <c:pt idx="29" formatCode="0.00">
                  <c:v>99.108571733746885</c:v>
                </c:pt>
                <c:pt idx="30" formatCode="0.00">
                  <c:v>100.90285709926026</c:v>
                </c:pt>
                <c:pt idx="31" formatCode="0.00">
                  <c:v>102.61857169015025</c:v>
                </c:pt>
                <c:pt idx="32" formatCode="0.00">
                  <c:v>103.97714233398385</c:v>
                </c:pt>
                <c:pt idx="33" formatCode="0.00">
                  <c:v>104.26142774309371</c:v>
                </c:pt>
                <c:pt idx="34" formatCode="0.00">
                  <c:v>104.10428510393356</c:v>
                </c:pt>
                <c:pt idx="35" formatCode="0.00">
                  <c:v>104.09999956403399</c:v>
                </c:pt>
                <c:pt idx="36" formatCode="0.00">
                  <c:v>103.45428575788171</c:v>
                </c:pt>
                <c:pt idx="37" formatCode="0.00">
                  <c:v>103.422857012067</c:v>
                </c:pt>
                <c:pt idx="38" formatCode="0.00">
                  <c:v>103.23000008719258</c:v>
                </c:pt>
                <c:pt idx="39" formatCode="0.00">
                  <c:v>103.09571511404815</c:v>
                </c:pt>
                <c:pt idx="40" formatCode="0.00">
                  <c:v>103.36571502685514</c:v>
                </c:pt>
                <c:pt idx="41" formatCode="0.00">
                  <c:v>104.44285801478757</c:v>
                </c:pt>
                <c:pt idx="42" formatCode="0.00">
                  <c:v>105.16428593226814</c:v>
                </c:pt>
                <c:pt idx="43" formatCode="0.00">
                  <c:v>105.85000065394786</c:v>
                </c:pt>
                <c:pt idx="44" formatCode="0.00">
                  <c:v>106.02428654261972</c:v>
                </c:pt>
                <c:pt idx="45" formatCode="0.00">
                  <c:v>106.492857796805</c:v>
                </c:pt>
                <c:pt idx="46" formatCode="0.00">
                  <c:v>107.11285727364644</c:v>
                </c:pt>
                <c:pt idx="47" formatCode="0.00">
                  <c:v>107.32285744803256</c:v>
                </c:pt>
                <c:pt idx="48" formatCode="0.00">
                  <c:v>106.78285762241886</c:v>
                </c:pt>
                <c:pt idx="49" formatCode="0.00">
                  <c:v>106.50714329310799</c:v>
                </c:pt>
                <c:pt idx="50" formatCode="0.00">
                  <c:v>106.47571454729314</c:v>
                </c:pt>
                <c:pt idx="51" formatCode="0.00">
                  <c:v>106.57428632463686</c:v>
                </c:pt>
                <c:pt idx="52" formatCode="0.00">
                  <c:v>106.37285723004972</c:v>
                </c:pt>
                <c:pt idx="53" formatCode="0.00">
                  <c:v>105.68000030517528</c:v>
                </c:pt>
                <c:pt idx="54" formatCode="0.00">
                  <c:v>105.39857155936056</c:v>
                </c:pt>
                <c:pt idx="55" formatCode="0.00">
                  <c:v>105.86285727364627</c:v>
                </c:pt>
                <c:pt idx="56" formatCode="0.00">
                  <c:v>106.32000078473729</c:v>
                </c:pt>
                <c:pt idx="57" formatCode="0.00">
                  <c:v>106.57857186453643</c:v>
                </c:pt>
                <c:pt idx="58" formatCode="0.00">
                  <c:v>106.58857182093985</c:v>
                </c:pt>
                <c:pt idx="59" formatCode="0.00">
                  <c:v>106.49428667340929</c:v>
                </c:pt>
                <c:pt idx="60" formatCode="0.00">
                  <c:v>106.58000074114086</c:v>
                </c:pt>
                <c:pt idx="61" formatCode="0.00">
                  <c:v>106.83214351109056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3-435F-A57A-E86385A4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209608"/>
        <c:axId val="381212680"/>
      </c:lineChart>
      <c:dateAx>
        <c:axId val="381209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12680"/>
        <c:crosses val="autoZero"/>
        <c:auto val="1"/>
        <c:lblOffset val="100"/>
        <c:baseTimeUnit val="days"/>
      </c:dateAx>
      <c:valAx>
        <c:axId val="38121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0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D4D4D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Return % Trend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charts!$F$2:$F$63</c:f>
              <c:numCache>
                <c:formatCode>0.00%</c:formatCode>
                <c:ptCount val="62"/>
                <c:pt idx="0">
                  <c:v>0</c:v>
                </c:pt>
                <c:pt idx="1">
                  <c:v>-1.7652712913862723E-2</c:v>
                </c:pt>
                <c:pt idx="2">
                  <c:v>-6.9115428539682222E-3</c:v>
                </c:pt>
                <c:pt idx="3">
                  <c:v>2.4561545319046196E-3</c:v>
                </c:pt>
                <c:pt idx="4">
                  <c:v>1.8806779021182329E-2</c:v>
                </c:pt>
                <c:pt idx="5">
                  <c:v>-4.224953717815727E-3</c:v>
                </c:pt>
                <c:pt idx="6">
                  <c:v>1.3903426404973329E-2</c:v>
                </c:pt>
                <c:pt idx="7">
                  <c:v>-1.042937679836653E-2</c:v>
                </c:pt>
                <c:pt idx="8">
                  <c:v>-7.5467023059165861E-3</c:v>
                </c:pt>
                <c:pt idx="9">
                  <c:v>-2.667982460044338E-2</c:v>
                </c:pt>
                <c:pt idx="10">
                  <c:v>2.8960664530126579E-3</c:v>
                </c:pt>
                <c:pt idx="11">
                  <c:v>3.2905125399556034E-3</c:v>
                </c:pt>
                <c:pt idx="12">
                  <c:v>-1.8005269695531956E-2</c:v>
                </c:pt>
                <c:pt idx="13">
                  <c:v>8.2475045989049978E-3</c:v>
                </c:pt>
                <c:pt idx="14">
                  <c:v>-3.447772533457627E-3</c:v>
                </c:pt>
                <c:pt idx="15">
                  <c:v>-1.4246021649450546E-2</c:v>
                </c:pt>
                <c:pt idx="16">
                  <c:v>4.129145369189402E-3</c:v>
                </c:pt>
                <c:pt idx="17">
                  <c:v>3.5090089703812222E-2</c:v>
                </c:pt>
                <c:pt idx="18">
                  <c:v>1.8539383396604103E-2</c:v>
                </c:pt>
                <c:pt idx="19">
                  <c:v>-1.4496494188358189E-2</c:v>
                </c:pt>
                <c:pt idx="20">
                  <c:v>8.3772359006688557E-3</c:v>
                </c:pt>
                <c:pt idx="21">
                  <c:v>-1.491462583974823E-2</c:v>
                </c:pt>
                <c:pt idx="22">
                  <c:v>-1.3878719627567593E-2</c:v>
                </c:pt>
                <c:pt idx="23">
                  <c:v>1.3266001486215595E-2</c:v>
                </c:pt>
                <c:pt idx="24">
                  <c:v>1.4089154648689428E-2</c:v>
                </c:pt>
                <c:pt idx="25">
                  <c:v>2.6214638238029053E-3</c:v>
                </c:pt>
                <c:pt idx="26">
                  <c:v>1.869403560795857E-2</c:v>
                </c:pt>
                <c:pt idx="27">
                  <c:v>-5.4540010922452531E-3</c:v>
                </c:pt>
                <c:pt idx="28">
                  <c:v>1.5483831590219488E-2</c:v>
                </c:pt>
                <c:pt idx="29">
                  <c:v>1.1944122971493831E-2</c:v>
                </c:pt>
                <c:pt idx="30">
                  <c:v>-9.103446505239865E-3</c:v>
                </c:pt>
                <c:pt idx="31">
                  <c:v>6.9694660835426525E-3</c:v>
                </c:pt>
                <c:pt idx="32">
                  <c:v>8.3055897882775565E-3</c:v>
                </c:pt>
                <c:pt idx="33">
                  <c:v>-1.2293299349167008E-2</c:v>
                </c:pt>
                <c:pt idx="34">
                  <c:v>-3.980318976944508E-3</c:v>
                </c:pt>
                <c:pt idx="35">
                  <c:v>1.979074212983889E-2</c:v>
                </c:pt>
                <c:pt idx="36">
                  <c:v>9.8898817916082127E-3</c:v>
                </c:pt>
                <c:pt idx="37">
                  <c:v>1.5644205941023337E-2</c:v>
                </c:pt>
                <c:pt idx="38">
                  <c:v>7.7016635504441044E-3</c:v>
                </c:pt>
                <c:pt idx="39">
                  <c:v>-3.2496436906980231E-3</c:v>
                </c:pt>
                <c:pt idx="40">
                  <c:v>-1.1290287513425312E-2</c:v>
                </c:pt>
                <c:pt idx="41">
                  <c:v>5.4959036728376987E-3</c:v>
                </c:pt>
                <c:pt idx="42">
                  <c:v>-1.5972335869795851E-2</c:v>
                </c:pt>
                <c:pt idx="43">
                  <c:v>-7.5911605061135257E-3</c:v>
                </c:pt>
                <c:pt idx="44">
                  <c:v>-4.3532147696333512E-3</c:v>
                </c:pt>
                <c:pt idx="45">
                  <c:v>3.4103630524209727E-2</c:v>
                </c:pt>
                <c:pt idx="46">
                  <c:v>-2.1139819394002668E-3</c:v>
                </c:pt>
                <c:pt idx="47">
                  <c:v>1.2099154324607397E-4</c:v>
                </c:pt>
                <c:pt idx="48">
                  <c:v>7.5047238711349884E-3</c:v>
                </c:pt>
                <c:pt idx="49">
                  <c:v>6.9682444500680507E-3</c:v>
                </c:pt>
                <c:pt idx="50">
                  <c:v>-5.8462742813442103E-3</c:v>
                </c:pt>
                <c:pt idx="51">
                  <c:v>-9.7809161939512723E-3</c:v>
                </c:pt>
                <c:pt idx="52">
                  <c:v>1.8785453312810674E-3</c:v>
                </c:pt>
                <c:pt idx="53">
                  <c:v>-9.4356592349652546E-3</c:v>
                </c:pt>
                <c:pt idx="54">
                  <c:v>-6.1120872955178207E-5</c:v>
                </c:pt>
                <c:pt idx="55">
                  <c:v>2.8395269365253384E-2</c:v>
                </c:pt>
                <c:pt idx="56">
                  <c:v>7.5410544864071838E-3</c:v>
                </c:pt>
                <c:pt idx="57">
                  <c:v>-5.303886243261946E-4</c:v>
                </c:pt>
                <c:pt idx="58">
                  <c:v>-6.1914209235902629E-3</c:v>
                </c:pt>
                <c:pt idx="59">
                  <c:v>-6.4672859932983773E-3</c:v>
                </c:pt>
                <c:pt idx="60">
                  <c:v>-9.913429037703092E-3</c:v>
                </c:pt>
                <c:pt idx="61">
                  <c:v>4.6926921727167947E-2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4-4478-B196-2FF646F983F0}"/>
            </c:ext>
          </c:extLst>
        </c:ser>
        <c:ser>
          <c:idx val="1"/>
          <c:order val="1"/>
          <c:tx>
            <c:v>Microsoft</c:v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charts!$G$2:$G$63</c:f>
              <c:numCache>
                <c:formatCode>0.00%</c:formatCode>
                <c:ptCount val="62"/>
                <c:pt idx="0">
                  <c:v>0</c:v>
                </c:pt>
                <c:pt idx="1">
                  <c:v>-3.1020521294315984E-3</c:v>
                </c:pt>
                <c:pt idx="2">
                  <c:v>-1.1659745649762132E-2</c:v>
                </c:pt>
                <c:pt idx="3">
                  <c:v>-1.9725607824208069E-3</c:v>
                </c:pt>
                <c:pt idx="4">
                  <c:v>3.1242874042076485E-2</c:v>
                </c:pt>
                <c:pt idx="5">
                  <c:v>3.1329210305217625E-3</c:v>
                </c:pt>
                <c:pt idx="6">
                  <c:v>-7.9929767647616279E-3</c:v>
                </c:pt>
                <c:pt idx="7">
                  <c:v>-2.6622654213366626E-2</c:v>
                </c:pt>
                <c:pt idx="8">
                  <c:v>-1.5601741114310341E-2</c:v>
                </c:pt>
                <c:pt idx="9">
                  <c:v>-2.0886613348216398E-2</c:v>
                </c:pt>
                <c:pt idx="10">
                  <c:v>-4.5909829837984528E-3</c:v>
                </c:pt>
                <c:pt idx="11">
                  <c:v>1.2961750375038994E-2</c:v>
                </c:pt>
                <c:pt idx="12">
                  <c:v>-2.1784366128995369E-2</c:v>
                </c:pt>
                <c:pt idx="13">
                  <c:v>3.7717776936112557E-3</c:v>
                </c:pt>
                <c:pt idx="14">
                  <c:v>-2.9581287269387913E-3</c:v>
                </c:pt>
                <c:pt idx="15">
                  <c:v>-1.2629275597826561E-2</c:v>
                </c:pt>
                <c:pt idx="16">
                  <c:v>1.9653210922659925E-2</c:v>
                </c:pt>
                <c:pt idx="17">
                  <c:v>1.664606214655362E-2</c:v>
                </c:pt>
                <c:pt idx="18">
                  <c:v>6.1890472506069827E-3</c:v>
                </c:pt>
                <c:pt idx="19">
                  <c:v>-1.058901885158714E-2</c:v>
                </c:pt>
                <c:pt idx="20">
                  <c:v>-1.7705959435329044E-3</c:v>
                </c:pt>
                <c:pt idx="21">
                  <c:v>-5.4394546339135985E-3</c:v>
                </c:pt>
                <c:pt idx="22">
                  <c:v>-1.4782858584555858E-2</c:v>
                </c:pt>
                <c:pt idx="23">
                  <c:v>2.144093450892659E-2</c:v>
                </c:pt>
                <c:pt idx="24">
                  <c:v>2.7055806653736081E-2</c:v>
                </c:pt>
                <c:pt idx="25">
                  <c:v>1.7830414295507913E-2</c:v>
                </c:pt>
                <c:pt idx="26">
                  <c:v>4.0536504169149001E-2</c:v>
                </c:pt>
                <c:pt idx="27">
                  <c:v>1.1694353099191312E-2</c:v>
                </c:pt>
                <c:pt idx="28">
                  <c:v>-2.5766674581017668E-2</c:v>
                </c:pt>
                <c:pt idx="29">
                  <c:v>5.6936698027971744E-3</c:v>
                </c:pt>
                <c:pt idx="30">
                  <c:v>-5.4422903098050313E-3</c:v>
                </c:pt>
                <c:pt idx="31">
                  <c:v>1.9721601779971509E-2</c:v>
                </c:pt>
                <c:pt idx="32">
                  <c:v>1.0480456759088375E-2</c:v>
                </c:pt>
                <c:pt idx="33">
                  <c:v>-1.4933892903827739E-2</c:v>
                </c:pt>
                <c:pt idx="34">
                  <c:v>-4.1609156819125692E-3</c:v>
                </c:pt>
                <c:pt idx="35">
                  <c:v>1.9183950036463449E-2</c:v>
                </c:pt>
                <c:pt idx="36">
                  <c:v>1.2619792178898637E-2</c:v>
                </c:pt>
                <c:pt idx="37">
                  <c:v>1.4962155193253057E-2</c:v>
                </c:pt>
                <c:pt idx="38">
                  <c:v>-3.7113314323424795E-3</c:v>
                </c:pt>
                <c:pt idx="39">
                  <c:v>-1.7414026610673705E-4</c:v>
                </c:pt>
                <c:pt idx="40">
                  <c:v>-9.8892555551295391E-3</c:v>
                </c:pt>
                <c:pt idx="41">
                  <c:v>2.5532847503443312E-2</c:v>
                </c:pt>
                <c:pt idx="42">
                  <c:v>-7.5788457092607064E-3</c:v>
                </c:pt>
                <c:pt idx="43">
                  <c:v>-2.2668467272934034E-2</c:v>
                </c:pt>
                <c:pt idx="44">
                  <c:v>2.3335703194307111E-3</c:v>
                </c:pt>
                <c:pt idx="45">
                  <c:v>2.2399401468337965E-2</c:v>
                </c:pt>
                <c:pt idx="46">
                  <c:v>-1.2765600801138755E-2</c:v>
                </c:pt>
                <c:pt idx="47">
                  <c:v>9.2960544081861496E-3</c:v>
                </c:pt>
                <c:pt idx="48">
                  <c:v>-1.4888943696537149E-3</c:v>
                </c:pt>
                <c:pt idx="49">
                  <c:v>2.7748063667831779E-4</c:v>
                </c:pt>
                <c:pt idx="50">
                  <c:v>-8.1124172523504567E-3</c:v>
                </c:pt>
                <c:pt idx="51">
                  <c:v>-1.2232204531658075E-3</c:v>
                </c:pt>
                <c:pt idx="52">
                  <c:v>-1.3962838100497366E-2</c:v>
                </c:pt>
                <c:pt idx="53">
                  <c:v>-2.2536025245857405E-2</c:v>
                </c:pt>
                <c:pt idx="54">
                  <c:v>7.2434756796232458E-2</c:v>
                </c:pt>
                <c:pt idx="55">
                  <c:v>3.2027597966830745E-2</c:v>
                </c:pt>
                <c:pt idx="56">
                  <c:v>7.9717327704043051E-3</c:v>
                </c:pt>
                <c:pt idx="57">
                  <c:v>-5.5328130996570302E-3</c:v>
                </c:pt>
                <c:pt idx="58">
                  <c:v>-4.9088197958657709E-4</c:v>
                </c:pt>
                <c:pt idx="59">
                  <c:v>-3.3070618300454768E-3</c:v>
                </c:pt>
                <c:pt idx="60">
                  <c:v>3.3180347762045148E-3</c:v>
                </c:pt>
                <c:pt idx="61">
                  <c:v>1.7157231824574737E-2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4-4478-B196-2FF646F983F0}"/>
            </c:ext>
          </c:extLst>
        </c:ser>
        <c:ser>
          <c:idx val="2"/>
          <c:order val="2"/>
          <c:tx>
            <c:v>Netflix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charts!$H$2:$H$63</c:f>
              <c:numCache>
                <c:formatCode>0.00%</c:formatCode>
                <c:ptCount val="62"/>
                <c:pt idx="0">
                  <c:v>0</c:v>
                </c:pt>
                <c:pt idx="1">
                  <c:v>1.0690106721971349E-2</c:v>
                </c:pt>
                <c:pt idx="2">
                  <c:v>-1.1803796665385224E-2</c:v>
                </c:pt>
                <c:pt idx="3">
                  <c:v>-4.1765557650863427E-2</c:v>
                </c:pt>
                <c:pt idx="4">
                  <c:v>3.2272059089680116E-2</c:v>
                </c:pt>
                <c:pt idx="5">
                  <c:v>3.8764651322418242E-3</c:v>
                </c:pt>
                <c:pt idx="6">
                  <c:v>4.0560673611367282E-3</c:v>
                </c:pt>
                <c:pt idx="7">
                  <c:v>-2.9633173523185175E-2</c:v>
                </c:pt>
                <c:pt idx="8">
                  <c:v>-7.8412365401692163E-3</c:v>
                </c:pt>
                <c:pt idx="9">
                  <c:v>-3.0060902724296179E-2</c:v>
                </c:pt>
                <c:pt idx="10">
                  <c:v>-7.7629484953718464E-3</c:v>
                </c:pt>
                <c:pt idx="11">
                  <c:v>-3.3534432700028871E-2</c:v>
                </c:pt>
                <c:pt idx="12">
                  <c:v>-2.0083423829999947E-2</c:v>
                </c:pt>
                <c:pt idx="13">
                  <c:v>1.8540138722913602E-2</c:v>
                </c:pt>
                <c:pt idx="14">
                  <c:v>-2.7861000522707569E-3</c:v>
                </c:pt>
                <c:pt idx="15">
                  <c:v>-2.685249360620956E-2</c:v>
                </c:pt>
                <c:pt idx="16">
                  <c:v>-5.1040131665230914E-3</c:v>
                </c:pt>
                <c:pt idx="17">
                  <c:v>1.0580953383686698E-2</c:v>
                </c:pt>
                <c:pt idx="18">
                  <c:v>-9.9942698448036715E-3</c:v>
                </c:pt>
                <c:pt idx="19">
                  <c:v>-1.1409151596065148E-2</c:v>
                </c:pt>
                <c:pt idx="20">
                  <c:v>1.0762820731610168E-2</c:v>
                </c:pt>
                <c:pt idx="21">
                  <c:v>-4.493412034275146E-2</c:v>
                </c:pt>
                <c:pt idx="22">
                  <c:v>-1.6858046323627196E-2</c:v>
                </c:pt>
                <c:pt idx="23">
                  <c:v>2.5618253005266212E-3</c:v>
                </c:pt>
                <c:pt idx="24">
                  <c:v>4.872040571709757E-3</c:v>
                </c:pt>
                <c:pt idx="25">
                  <c:v>3.0006123381900895E-2</c:v>
                </c:pt>
                <c:pt idx="26">
                  <c:v>2.0639220636990974E-2</c:v>
                </c:pt>
                <c:pt idx="27">
                  <c:v>-2.1157187674147981E-2</c:v>
                </c:pt>
                <c:pt idx="28">
                  <c:v>5.370691541390471E-3</c:v>
                </c:pt>
                <c:pt idx="29">
                  <c:v>2.1630244536670062E-3</c:v>
                </c:pt>
                <c:pt idx="30">
                  <c:v>-3.8882940306044667E-2</c:v>
                </c:pt>
                <c:pt idx="31">
                  <c:v>9.0064653863266564E-2</c:v>
                </c:pt>
                <c:pt idx="32">
                  <c:v>2.5033616298294037E-2</c:v>
                </c:pt>
                <c:pt idx="33">
                  <c:v>-2.2229999505604114E-3</c:v>
                </c:pt>
                <c:pt idx="34">
                  <c:v>-1.2635093090907823E-2</c:v>
                </c:pt>
                <c:pt idx="35">
                  <c:v>2.6304432661393928E-2</c:v>
                </c:pt>
                <c:pt idx="36">
                  <c:v>1.9275348372178813E-2</c:v>
                </c:pt>
                <c:pt idx="37">
                  <c:v>2.0831541125555519E-2</c:v>
                </c:pt>
                <c:pt idx="38">
                  <c:v>8.1046303807106312E-3</c:v>
                </c:pt>
                <c:pt idx="39">
                  <c:v>-4.3930136231152828E-3</c:v>
                </c:pt>
                <c:pt idx="40">
                  <c:v>-1.2689239787988416E-2</c:v>
                </c:pt>
                <c:pt idx="41">
                  <c:v>-8.8214385202518564E-3</c:v>
                </c:pt>
                <c:pt idx="42">
                  <c:v>-1.0019637265908932E-3</c:v>
                </c:pt>
                <c:pt idx="43">
                  <c:v>-2.3009492957526412E-3</c:v>
                </c:pt>
                <c:pt idx="44">
                  <c:v>-2.1229392558426707E-2</c:v>
                </c:pt>
                <c:pt idx="45">
                  <c:v>4.5796464725293529E-2</c:v>
                </c:pt>
                <c:pt idx="46">
                  <c:v>-2.1837711965335016E-2</c:v>
                </c:pt>
                <c:pt idx="47">
                  <c:v>-1.7452687525886024E-2</c:v>
                </c:pt>
                <c:pt idx="48">
                  <c:v>2.9454525809464727E-3</c:v>
                </c:pt>
                <c:pt idx="49">
                  <c:v>-3.1705174416595705E-2</c:v>
                </c:pt>
                <c:pt idx="50">
                  <c:v>6.9014948626724415E-3</c:v>
                </c:pt>
                <c:pt idx="51">
                  <c:v>8.0836171307039351E-3</c:v>
                </c:pt>
                <c:pt idx="52">
                  <c:v>3.1708579562990113E-3</c:v>
                </c:pt>
                <c:pt idx="53">
                  <c:v>-1.9664462454389575E-2</c:v>
                </c:pt>
                <c:pt idx="54">
                  <c:v>-4.3403935807390104E-3</c:v>
                </c:pt>
                <c:pt idx="55">
                  <c:v>1.4634944095767155E-2</c:v>
                </c:pt>
                <c:pt idx="56">
                  <c:v>1.2521057222168341E-2</c:v>
                </c:pt>
                <c:pt idx="57">
                  <c:v>-1.7609789008492638E-2</c:v>
                </c:pt>
                <c:pt idx="58">
                  <c:v>-2.0270293172883536E-2</c:v>
                </c:pt>
                <c:pt idx="59">
                  <c:v>5.5109433704054744E-3</c:v>
                </c:pt>
                <c:pt idx="60">
                  <c:v>4.635173952113103E-3</c:v>
                </c:pt>
                <c:pt idx="61">
                  <c:v>6.1724889140961636E-3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4-4478-B196-2FF646F983F0}"/>
            </c:ext>
          </c:extLst>
        </c:ser>
        <c:ser>
          <c:idx val="3"/>
          <c:order val="3"/>
          <c:tx>
            <c:v>Google</c:v>
          </c:tx>
          <c:spPr>
            <a:ln w="19050" cap="rnd">
              <a:solidFill>
                <a:srgbClr val="FFCB3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charts!$I$2:$I$63</c:f>
              <c:numCache>
                <c:formatCode>0.00%</c:formatCode>
                <c:ptCount val="62"/>
                <c:pt idx="0">
                  <c:v>0</c:v>
                </c:pt>
                <c:pt idx="1">
                  <c:v>-7.441689047941813E-2</c:v>
                </c:pt>
                <c:pt idx="2">
                  <c:v>-4.5400009155273979E-2</c:v>
                </c:pt>
                <c:pt idx="3">
                  <c:v>-6.2853391983604956E-3</c:v>
                </c:pt>
                <c:pt idx="4">
                  <c:v>1.4758527171379043E-3</c:v>
                </c:pt>
                <c:pt idx="5">
                  <c:v>-5.2634791324102093E-4</c:v>
                </c:pt>
                <c:pt idx="6">
                  <c:v>2.2643513375266044E-2</c:v>
                </c:pt>
                <c:pt idx="7">
                  <c:v>-1.3594229820467985E-2</c:v>
                </c:pt>
                <c:pt idx="8">
                  <c:v>-1.2424331348638851E-2</c:v>
                </c:pt>
                <c:pt idx="9">
                  <c:v>-2.6852662908026126E-2</c:v>
                </c:pt>
                <c:pt idx="10">
                  <c:v>-2.7159151734023057E-3</c:v>
                </c:pt>
                <c:pt idx="11">
                  <c:v>-7.9521060203234795E-3</c:v>
                </c:pt>
                <c:pt idx="12">
                  <c:v>-1.8886584237035708E-2</c:v>
                </c:pt>
                <c:pt idx="13">
                  <c:v>8.3939564947752565E-3</c:v>
                </c:pt>
                <c:pt idx="14">
                  <c:v>2.2198066706311526E-3</c:v>
                </c:pt>
                <c:pt idx="15">
                  <c:v>2.3255711780234556E-3</c:v>
                </c:pt>
                <c:pt idx="16">
                  <c:v>1.9887254224721485E-2</c:v>
                </c:pt>
                <c:pt idx="17">
                  <c:v>1.8524527458548601E-2</c:v>
                </c:pt>
                <c:pt idx="18">
                  <c:v>1.6592270194504932E-2</c:v>
                </c:pt>
                <c:pt idx="19">
                  <c:v>-1.4752078207757258E-2</c:v>
                </c:pt>
                <c:pt idx="20">
                  <c:v>5.0972004488356593E-3</c:v>
                </c:pt>
                <c:pt idx="21">
                  <c:v>-2.1024805406109848E-2</c:v>
                </c:pt>
                <c:pt idx="22">
                  <c:v>-1.7807052241177845E-2</c:v>
                </c:pt>
                <c:pt idx="23">
                  <c:v>7.1420888981623687E-3</c:v>
                </c:pt>
                <c:pt idx="24">
                  <c:v>2.8256559397906278E-2</c:v>
                </c:pt>
                <c:pt idx="25">
                  <c:v>2.4403215403265843E-2</c:v>
                </c:pt>
                <c:pt idx="26">
                  <c:v>4.6815085450004235E-2</c:v>
                </c:pt>
                <c:pt idx="27">
                  <c:v>1.3752838565796344E-2</c:v>
                </c:pt>
                <c:pt idx="28">
                  <c:v>-5.172738473870675E-3</c:v>
                </c:pt>
                <c:pt idx="29">
                  <c:v>3.8359619552718494E-2</c:v>
                </c:pt>
                <c:pt idx="30">
                  <c:v>-1.5306076844666894E-2</c:v>
                </c:pt>
                <c:pt idx="31">
                  <c:v>1.9573986678497191E-2</c:v>
                </c:pt>
                <c:pt idx="32">
                  <c:v>-1.8822188369673754E-3</c:v>
                </c:pt>
                <c:pt idx="33">
                  <c:v>-2.8285876570406709E-2</c:v>
                </c:pt>
                <c:pt idx="34">
                  <c:v>-1.6495216267354396E-2</c:v>
                </c:pt>
                <c:pt idx="35">
                  <c:v>5.3275543831425853E-3</c:v>
                </c:pt>
                <c:pt idx="36">
                  <c:v>-5.6918726434630473E-3</c:v>
                </c:pt>
                <c:pt idx="37">
                  <c:v>2.6450851887565685E-2</c:v>
                </c:pt>
                <c:pt idx="38">
                  <c:v>8.7500352125866598E-3</c:v>
                </c:pt>
                <c:pt idx="39">
                  <c:v>2.0017069597038084E-3</c:v>
                </c:pt>
                <c:pt idx="40">
                  <c:v>-1.6172545081628575E-3</c:v>
                </c:pt>
                <c:pt idx="41">
                  <c:v>3.7637014697427862E-2</c:v>
                </c:pt>
                <c:pt idx="42">
                  <c:v>-1.7906377872479728E-2</c:v>
                </c:pt>
                <c:pt idx="43">
                  <c:v>-7.7605818171427865E-3</c:v>
                </c:pt>
                <c:pt idx="44">
                  <c:v>-8.4809791046485117E-3</c:v>
                </c:pt>
                <c:pt idx="45">
                  <c:v>2.8226584168853153E-2</c:v>
                </c:pt>
                <c:pt idx="46">
                  <c:v>1.1738576711409321E-2</c:v>
                </c:pt>
                <c:pt idx="47">
                  <c:v>-2.7772710953350099E-2</c:v>
                </c:pt>
                <c:pt idx="48">
                  <c:v>-1.2215706114739988E-2</c:v>
                </c:pt>
                <c:pt idx="49">
                  <c:v>-9.5135179702288131E-4</c:v>
                </c:pt>
                <c:pt idx="50">
                  <c:v>8.379403075043923E-3</c:v>
                </c:pt>
                <c:pt idx="51">
                  <c:v>9.4448877118846752E-5</c:v>
                </c:pt>
                <c:pt idx="52">
                  <c:v>8.214475376307151E-3</c:v>
                </c:pt>
                <c:pt idx="53">
                  <c:v>-2.0322140791836696E-2</c:v>
                </c:pt>
                <c:pt idx="54">
                  <c:v>-1.5295254868123997E-3</c:v>
                </c:pt>
                <c:pt idx="55">
                  <c:v>3.752997523094681E-2</c:v>
                </c:pt>
                <c:pt idx="56">
                  <c:v>-1.3841609493152607E-3</c:v>
                </c:pt>
                <c:pt idx="57">
                  <c:v>-4.7126421223272486E-3</c:v>
                </c:pt>
                <c:pt idx="58">
                  <c:v>-1.6061607485320373E-2</c:v>
                </c:pt>
                <c:pt idx="59">
                  <c:v>1.32099816205411E-3</c:v>
                </c:pt>
                <c:pt idx="60">
                  <c:v>-8.5752321763797879E-3</c:v>
                </c:pt>
                <c:pt idx="61">
                  <c:v>9.5522979009923237E-3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4-4478-B196-2FF646F983F0}"/>
            </c:ext>
          </c:extLst>
        </c:ser>
        <c:ser>
          <c:idx val="4"/>
          <c:order val="4"/>
          <c:tx>
            <c:strRef>
              <c:f>{"Zero line"}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flat" cmpd="sng" algn="ctr">
              <a:solidFill>
                <a:srgbClr val="444444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charts!J1:J63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44-4478-B196-2FF646F98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182407"/>
        <c:axId val="502193671"/>
      </c:lineChart>
      <c:dateAx>
        <c:axId val="502182407"/>
        <c:scaling>
          <c:orientation val="minMax"/>
        </c:scaling>
        <c:delete val="0"/>
        <c:axPos val="b"/>
        <c:numFmt formatCode="mm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93671"/>
        <c:crosses val="autoZero"/>
        <c:auto val="1"/>
        <c:lblOffset val="100"/>
        <c:baseTimeUnit val="days"/>
      </c:dateAx>
      <c:valAx>
        <c:axId val="502193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82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D4D4D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7-Day Rolling Volatility Comparison</a:t>
            </a:r>
          </a:p>
        </c:rich>
      </c:tx>
      <c:layout>
        <c:manualLayout>
          <c:xMode val="edge"/>
          <c:yMode val="edge"/>
          <c:x val="0.25303723926686755"/>
          <c:y val="6.96864111498257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charts!$O$2:$O$63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1.3590384996527764E-2</c:v>
                </c:pt>
                <c:pt idx="7" formatCode="0.00">
                  <c:v>1.3144688021055066E-2</c:v>
                </c:pt>
                <c:pt idx="8" formatCode="0.00">
                  <c:v>1.1395479371605063E-2</c:v>
                </c:pt>
                <c:pt idx="9" formatCode="0.00">
                  <c:v>1.5392374488541652E-2</c:v>
                </c:pt>
                <c:pt idx="10" formatCode="0.00">
                  <c:v>1.5414288702582752E-2</c:v>
                </c:pt>
                <c:pt idx="11" formatCode="0.00">
                  <c:v>1.2841934332759406E-2</c:v>
                </c:pt>
                <c:pt idx="12" formatCode="0.00">
                  <c:v>1.3876519210307216E-2</c:v>
                </c:pt>
                <c:pt idx="13" formatCode="0.00">
                  <c:v>1.2627343351045064E-2</c:v>
                </c:pt>
                <c:pt idx="14" formatCode="0.00">
                  <c:v>1.2576774099380567E-2</c:v>
                </c:pt>
                <c:pt idx="15" formatCode="0.00">
                  <c:v>1.2972334156295421E-2</c:v>
                </c:pt>
                <c:pt idx="16" formatCode="0.00">
                  <c:v>1.0011357988082621E-2</c:v>
                </c:pt>
                <c:pt idx="17" formatCode="0.00">
                  <c:v>1.7482592901997572E-2</c:v>
                </c:pt>
                <c:pt idx="18" formatCode="0.00">
                  <c:v>1.8564767154492557E-2</c:v>
                </c:pt>
                <c:pt idx="19" formatCode="0.00">
                  <c:v>1.7896555766078483E-2</c:v>
                </c:pt>
                <c:pt idx="20" formatCode="0.00">
                  <c:v>1.7900750328763686E-2</c:v>
                </c:pt>
                <c:pt idx="21" formatCode="0.00">
                  <c:v>1.925967267444658E-2</c:v>
                </c:pt>
                <c:pt idx="22" formatCode="0.00">
                  <c:v>1.9204606255343516E-2</c:v>
                </c:pt>
                <c:pt idx="23" formatCode="0.00">
                  <c:v>1.9580058428782531E-2</c:v>
                </c:pt>
                <c:pt idx="24" formatCode="0.00">
                  <c:v>1.5255393422074532E-2</c:v>
                </c:pt>
                <c:pt idx="25" formatCode="0.00">
                  <c:v>1.3374564989588122E-2</c:v>
                </c:pt>
                <c:pt idx="26" formatCode="0.00">
                  <c:v>1.3552536623425199E-2</c:v>
                </c:pt>
                <c:pt idx="27" formatCode="0.00">
                  <c:v>1.3819806617792734E-2</c:v>
                </c:pt>
                <c:pt idx="28" formatCode="0.00">
                  <c:v>1.2287835875980063E-2</c:v>
                </c:pt>
                <c:pt idx="29" formatCode="0.00">
                  <c:v>8.4659692828250154E-3</c:v>
                </c:pt>
                <c:pt idx="30" formatCode="0.00">
                  <c:v>1.0931193808779284E-2</c:v>
                </c:pt>
                <c:pt idx="31" formatCode="0.00">
                  <c:v>1.0471985791892215E-2</c:v>
                </c:pt>
                <c:pt idx="32" formatCode="0.00">
                  <c:v>1.0397372157189338E-2</c:v>
                </c:pt>
                <c:pt idx="33" formatCode="0.00">
                  <c:v>1.1013720903976129E-2</c:v>
                </c:pt>
                <c:pt idx="34" formatCode="0.00">
                  <c:v>1.0854524586203031E-2</c:v>
                </c:pt>
                <c:pt idx="35" formatCode="0.00">
                  <c:v>1.1796032956233347E-2</c:v>
                </c:pt>
                <c:pt idx="36" formatCode="0.00">
                  <c:v>1.1562295708643078E-2</c:v>
                </c:pt>
                <c:pt idx="37" formatCode="0.00">
                  <c:v>1.1090991535945819E-2</c:v>
                </c:pt>
                <c:pt idx="38" formatCode="0.00">
                  <c:v>1.1101449701173055E-2</c:v>
                </c:pt>
                <c:pt idx="39" formatCode="0.00">
                  <c:v>1.1624084264247544E-2</c:v>
                </c:pt>
                <c:pt idx="40" formatCode="0.00">
                  <c:v>1.1382124084132124E-2</c:v>
                </c:pt>
                <c:pt idx="41" formatCode="0.00">
                  <c:v>1.0688192291254893E-2</c:v>
                </c:pt>
                <c:pt idx="42" formatCode="0.00">
                  <c:v>1.1658806531046647E-2</c:v>
                </c:pt>
                <c:pt idx="43" formatCode="0.00">
                  <c:v>1.1348859933379142E-2</c:v>
                </c:pt>
                <c:pt idx="44" formatCode="0.00">
                  <c:v>8.5336978746670244E-3</c:v>
                </c:pt>
                <c:pt idx="45" formatCode="0.00">
                  <c:v>1.6642410210738479E-2</c:v>
                </c:pt>
                <c:pt idx="46" formatCode="0.00">
                  <c:v>1.6615607391913711E-2</c:v>
                </c:pt>
                <c:pt idx="47" formatCode="0.00">
                  <c:v>1.5895620860446925E-2</c:v>
                </c:pt>
                <c:pt idx="48" formatCode="0.00">
                  <c:v>1.6000013294150586E-2</c:v>
                </c:pt>
                <c:pt idx="49" formatCode="0.00">
                  <c:v>1.4009423949048605E-2</c:v>
                </c:pt>
                <c:pt idx="50" formatCode="0.00">
                  <c:v>1.3762467127764787E-2</c:v>
                </c:pt>
                <c:pt idx="51" formatCode="0.00">
                  <c:v>1.4522188516153431E-2</c:v>
                </c:pt>
                <c:pt idx="52" formatCode="0.00">
                  <c:v>6.3574774332888773E-3</c:v>
                </c:pt>
                <c:pt idx="53" formatCode="0.00">
                  <c:v>7.2658538117277146E-3</c:v>
                </c:pt>
                <c:pt idx="54" formatCode="0.00">
                  <c:v>7.2605460631784569E-3</c:v>
                </c:pt>
                <c:pt idx="55" formatCode="0.00">
                  <c:v>1.3268251802406967E-2</c:v>
                </c:pt>
                <c:pt idx="56" formatCode="0.00">
                  <c:v>1.3307641838777973E-2</c:v>
                </c:pt>
                <c:pt idx="57" formatCode="0.00">
                  <c:v>1.294443368772343E-2</c:v>
                </c:pt>
                <c:pt idx="58" formatCode="0.00">
                  <c:v>1.2434559996525802E-2</c:v>
                </c:pt>
                <c:pt idx="59" formatCode="0.00">
                  <c:v>1.2958606955600955E-2</c:v>
                </c:pt>
                <c:pt idx="60" formatCode="0.00">
                  <c:v>1.302928449989193E-2</c:v>
                </c:pt>
                <c:pt idx="61" formatCode="0.00">
                  <c:v>2.1345646350231808E-2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6-459B-8A50-42F8167C33E4}"/>
            </c:ext>
          </c:extLst>
        </c:ser>
        <c:ser>
          <c:idx val="1"/>
          <c:order val="1"/>
          <c:tx>
            <c:v>Microsoft</c:v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charts!$P$2:$P$63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1.538679940498794E-2</c:v>
                </c:pt>
                <c:pt idx="7" formatCode="0.00">
                  <c:v>1.7639391010519152E-2</c:v>
                </c:pt>
                <c:pt idx="8" formatCode="0.00">
                  <c:v>1.8338208550973609E-2</c:v>
                </c:pt>
                <c:pt idx="9" formatCode="0.00">
                  <c:v>1.9270779635546624E-2</c:v>
                </c:pt>
                <c:pt idx="10" formatCode="0.00">
                  <c:v>1.9215581946100253E-2</c:v>
                </c:pt>
                <c:pt idx="11" formatCode="0.00">
                  <c:v>1.3806768528616287E-2</c:v>
                </c:pt>
                <c:pt idx="12" formatCode="0.00">
                  <c:v>1.3512344678736613E-2</c:v>
                </c:pt>
                <c:pt idx="13" formatCode="0.00">
                  <c:v>1.4777011969248497E-2</c:v>
                </c:pt>
                <c:pt idx="14" formatCode="0.00">
                  <c:v>1.3051482083507615E-2</c:v>
                </c:pt>
                <c:pt idx="15" formatCode="0.00">
                  <c:v>1.2770791375001166E-2</c:v>
                </c:pt>
                <c:pt idx="16" formatCode="0.00">
                  <c:v>1.4305739722895431E-2</c:v>
                </c:pt>
                <c:pt idx="17" formatCode="0.00">
                  <c:v>1.5563540893038429E-2</c:v>
                </c:pt>
                <c:pt idx="18" formatCode="0.00">
                  <c:v>1.4985506221733766E-2</c:v>
                </c:pt>
                <c:pt idx="19" formatCode="0.00">
                  <c:v>1.2507498724417291E-2</c:v>
                </c:pt>
                <c:pt idx="20" formatCode="0.00">
                  <c:v>1.2615788952817668E-2</c:v>
                </c:pt>
                <c:pt idx="21" formatCode="0.00">
                  <c:v>1.2814155047530904E-2</c:v>
                </c:pt>
                <c:pt idx="22" formatCode="0.00">
                  <c:v>1.3235103448809089E-2</c:v>
                </c:pt>
                <c:pt idx="23" formatCode="0.00">
                  <c:v>1.365623312418259E-2</c:v>
                </c:pt>
                <c:pt idx="24" formatCode="0.00">
                  <c:v>1.5935392067722581E-2</c:v>
                </c:pt>
                <c:pt idx="25" formatCode="0.00">
                  <c:v>1.6883718629991263E-2</c:v>
                </c:pt>
                <c:pt idx="26" formatCode="0.00">
                  <c:v>1.9896027445959395E-2</c:v>
                </c:pt>
                <c:pt idx="27" formatCode="0.00">
                  <c:v>1.8957518183948509E-2</c:v>
                </c:pt>
                <c:pt idx="28" formatCode="0.00">
                  <c:v>2.3461822433199477E-2</c:v>
                </c:pt>
                <c:pt idx="29" formatCode="0.00">
                  <c:v>2.0818043665997422E-2</c:v>
                </c:pt>
                <c:pt idx="30" formatCode="0.00">
                  <c:v>2.1692787351349808E-2</c:v>
                </c:pt>
                <c:pt idx="31" formatCode="0.00">
                  <c:v>2.0907507778324154E-2</c:v>
                </c:pt>
                <c:pt idx="32" formatCode="0.00">
                  <c:v>2.0582773188279429E-2</c:v>
                </c:pt>
                <c:pt idx="33" formatCode="0.00">
                  <c:v>1.624920158490676E-2</c:v>
                </c:pt>
                <c:pt idx="34" formatCode="0.00">
                  <c:v>1.5467265861885345E-2</c:v>
                </c:pt>
                <c:pt idx="35" formatCode="0.00">
                  <c:v>1.3139711437342627E-2</c:v>
                </c:pt>
                <c:pt idx="36" formatCode="0.00">
                  <c:v>1.3512092638463811E-2</c:v>
                </c:pt>
                <c:pt idx="37" formatCode="0.00">
                  <c:v>1.2985848136526205E-2</c:v>
                </c:pt>
                <c:pt idx="38" formatCode="0.00">
                  <c:v>1.2554219781167103E-2</c:v>
                </c:pt>
                <c:pt idx="39" formatCode="0.00">
                  <c:v>1.2412800100947701E-2</c:v>
                </c:pt>
                <c:pt idx="40" formatCode="0.00">
                  <c:v>1.1264424617797739E-2</c:v>
                </c:pt>
                <c:pt idx="41" formatCode="0.00">
                  <c:v>1.3072762950839881E-2</c:v>
                </c:pt>
                <c:pt idx="42" formatCode="0.00">
                  <c:v>1.3291484633092912E-2</c:v>
                </c:pt>
                <c:pt idx="43" formatCode="0.00">
                  <c:v>1.610856521515729E-2</c:v>
                </c:pt>
                <c:pt idx="44" formatCode="0.00">
                  <c:v>1.4736494037185383E-2</c:v>
                </c:pt>
                <c:pt idx="45" formatCode="0.00">
                  <c:v>1.7388086452424751E-2</c:v>
                </c:pt>
                <c:pt idx="46" formatCode="0.00">
                  <c:v>1.82124883084307E-2</c:v>
                </c:pt>
                <c:pt idx="47" formatCode="0.00">
                  <c:v>1.7984514309805834E-2</c:v>
                </c:pt>
                <c:pt idx="48" formatCode="0.00">
                  <c:v>1.4800915475512294E-2</c:v>
                </c:pt>
                <c:pt idx="49" formatCode="0.00">
                  <c:v>1.4558681037233812E-2</c:v>
                </c:pt>
                <c:pt idx="50" formatCode="0.00">
                  <c:v>1.1577969011745079E-2</c:v>
                </c:pt>
                <c:pt idx="51" formatCode="0.00">
                  <c:v>1.1623775852688287E-2</c:v>
                </c:pt>
                <c:pt idx="52" formatCode="0.00">
                  <c:v>8.1864102351457795E-3</c:v>
                </c:pt>
                <c:pt idx="53" formatCode="0.00">
                  <c:v>1.0450458059780461E-2</c:v>
                </c:pt>
                <c:pt idx="54" formatCode="0.00">
                  <c:v>3.1430197530344393E-2</c:v>
                </c:pt>
                <c:pt idx="55" formatCode="0.00">
                  <c:v>3.3033033165613901E-2</c:v>
                </c:pt>
                <c:pt idx="56" formatCode="0.00">
                  <c:v>3.2844600902689078E-2</c:v>
                </c:pt>
                <c:pt idx="57" formatCode="0.00">
                  <c:v>3.2627623925766146E-2</c:v>
                </c:pt>
                <c:pt idx="58" formatCode="0.00">
                  <c:v>3.2587226828720582E-2</c:v>
                </c:pt>
                <c:pt idx="59" formatCode="0.00">
                  <c:v>3.1513153216591101E-2</c:v>
                </c:pt>
                <c:pt idx="60" formatCode="0.00">
                  <c:v>2.819863759200484E-2</c:v>
                </c:pt>
                <c:pt idx="61" formatCode="0.00">
                  <c:v>1.330923747239068E-2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6-459B-8A50-42F8167C33E4}"/>
            </c:ext>
          </c:extLst>
        </c:ser>
        <c:ser>
          <c:idx val="2"/>
          <c:order val="2"/>
          <c:tx>
            <c:v>Netflix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charts!$Q$2:$Q$63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2.477798203291303E-2</c:v>
                </c:pt>
                <c:pt idx="7" formatCode="0.00">
                  <c:v>2.5165934468009087E-2</c:v>
                </c:pt>
                <c:pt idx="8" formatCode="0.00">
                  <c:v>2.4245392022221653E-2</c:v>
                </c:pt>
                <c:pt idx="9" formatCode="0.00">
                  <c:v>2.5750572336778459E-2</c:v>
                </c:pt>
                <c:pt idx="10" formatCode="0.00">
                  <c:v>2.1604620328735356E-2</c:v>
                </c:pt>
                <c:pt idx="11" formatCode="0.00">
                  <c:v>1.6356252434752552E-2</c:v>
                </c:pt>
                <c:pt idx="12" formatCode="0.00">
                  <c:v>1.4263809216466345E-2</c:v>
                </c:pt>
                <c:pt idx="13" formatCode="0.00">
                  <c:v>1.8415400846401607E-2</c:v>
                </c:pt>
                <c:pt idx="14" formatCode="0.00">
                  <c:v>1.7832937596386E-2</c:v>
                </c:pt>
                <c:pt idx="15" formatCode="0.00">
                  <c:v>1.8539640237988868E-2</c:v>
                </c:pt>
                <c:pt idx="16" formatCode="0.00">
                  <c:v>1.7449409299216831E-2</c:v>
                </c:pt>
                <c:pt idx="17" formatCode="0.00">
                  <c:v>1.9309480008826846E-2</c:v>
                </c:pt>
                <c:pt idx="18" formatCode="0.00">
                  <c:v>1.5977747295928973E-2</c:v>
                </c:pt>
                <c:pt idx="19" formatCode="0.00">
                  <c:v>1.4923593704778458E-2</c:v>
                </c:pt>
                <c:pt idx="20" formatCode="0.00">
                  <c:v>1.3163653517351971E-2</c:v>
                </c:pt>
                <c:pt idx="21" formatCode="0.00">
                  <c:v>1.9908646353604963E-2</c:v>
                </c:pt>
                <c:pt idx="22" formatCode="0.00">
                  <c:v>1.8915287041052293E-2</c:v>
                </c:pt>
                <c:pt idx="23" formatCode="0.00">
                  <c:v>1.943148129430429E-2</c:v>
                </c:pt>
                <c:pt idx="24" formatCode="0.00">
                  <c:v>1.860067237543701E-2</c:v>
                </c:pt>
                <c:pt idx="25" formatCode="0.00">
                  <c:v>2.377207064408679E-2</c:v>
                </c:pt>
                <c:pt idx="26" formatCode="0.00">
                  <c:v>2.50620952865994E-2</c:v>
                </c:pt>
                <c:pt idx="27" formatCode="0.00">
                  <c:v>2.5881716521702527E-2</c:v>
                </c:pt>
                <c:pt idx="28" formatCode="0.00">
                  <c:v>1.8370682115689183E-2</c:v>
                </c:pt>
                <c:pt idx="29" formatCode="0.00">
                  <c:v>1.6101054881680652E-2</c:v>
                </c:pt>
                <c:pt idx="30" formatCode="0.00">
                  <c:v>2.36002088663472E-2</c:v>
                </c:pt>
                <c:pt idx="31" formatCode="0.00">
                  <c:v>4.1472097080492584E-2</c:v>
                </c:pt>
                <c:pt idx="32" formatCode="0.00">
                  <c:v>4.1165729140827396E-2</c:v>
                </c:pt>
                <c:pt idx="33" formatCode="0.00">
                  <c:v>4.1262714715220319E-2</c:v>
                </c:pt>
                <c:pt idx="34" formatCode="0.00">
                  <c:v>4.0353278279711011E-2</c:v>
                </c:pt>
                <c:pt idx="35" formatCode="0.00">
                  <c:v>4.0740554424470166E-2</c:v>
                </c:pt>
                <c:pt idx="36" formatCode="0.00">
                  <c:v>4.0506398394058181E-2</c:v>
                </c:pt>
                <c:pt idx="37" formatCode="0.00">
                  <c:v>3.2743433744481631E-2</c:v>
                </c:pt>
                <c:pt idx="38" formatCode="0.00">
                  <c:v>1.4886828060890197E-2</c:v>
                </c:pt>
                <c:pt idx="39" formatCode="0.00">
                  <c:v>1.477989346655117E-2</c:v>
                </c:pt>
                <c:pt idx="40" formatCode="0.00">
                  <c:v>1.6413201834318127E-2</c:v>
                </c:pt>
                <c:pt idx="41" formatCode="0.00">
                  <c:v>1.5724929244742614E-2</c:v>
                </c:pt>
                <c:pt idx="42" formatCode="0.00">
                  <c:v>1.3325825353315465E-2</c:v>
                </c:pt>
                <c:pt idx="43" formatCode="0.00">
                  <c:v>1.1284644014111079E-2</c:v>
                </c:pt>
                <c:pt idx="44" formatCode="0.00">
                  <c:v>9.3524640402718601E-3</c:v>
                </c:pt>
                <c:pt idx="45" formatCode="0.00">
                  <c:v>2.1638544712231783E-2</c:v>
                </c:pt>
                <c:pt idx="46" formatCode="0.00">
                  <c:v>2.3095268321461013E-2</c:v>
                </c:pt>
                <c:pt idx="47" formatCode="0.00">
                  <c:v>2.3489821232095795E-2</c:v>
                </c:pt>
                <c:pt idx="48" formatCode="0.00">
                  <c:v>2.3494571084133931E-2</c:v>
                </c:pt>
                <c:pt idx="49" formatCode="0.00">
                  <c:v>2.5978259810726788E-2</c:v>
                </c:pt>
                <c:pt idx="50" formatCode="0.00">
                  <c:v>2.6456999039261055E-2</c:v>
                </c:pt>
                <c:pt idx="51" formatCode="0.00">
                  <c:v>2.5813820679722592E-2</c:v>
                </c:pt>
                <c:pt idx="52" formatCode="0.00">
                  <c:v>1.6138841575339034E-2</c:v>
                </c:pt>
                <c:pt idx="53" formatCode="0.00">
                  <c:v>1.5826584412852267E-2</c:v>
                </c:pt>
                <c:pt idx="54" formatCode="0.00">
                  <c:v>1.5118122403299345E-2</c:v>
                </c:pt>
                <c:pt idx="55" formatCode="0.00">
                  <c:v>1.6697897914392031E-2</c:v>
                </c:pt>
                <c:pt idx="56" formatCode="0.00">
                  <c:v>1.179450602674827E-2</c:v>
                </c:pt>
                <c:pt idx="57" formatCode="0.00">
                  <c:v>1.3907586459490162E-2</c:v>
                </c:pt>
                <c:pt idx="58" formatCode="0.00">
                  <c:v>1.508453493239144E-2</c:v>
                </c:pt>
                <c:pt idx="59" formatCode="0.00">
                  <c:v>1.5307365524477843E-2</c:v>
                </c:pt>
                <c:pt idx="60" formatCode="0.00">
                  <c:v>1.3899559463092829E-2</c:v>
                </c:pt>
                <c:pt idx="61" formatCode="0.00">
                  <c:v>1.4008518990239463E-2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6-459B-8A50-42F8167C33E4}"/>
            </c:ext>
          </c:extLst>
        </c:ser>
        <c:ser>
          <c:idx val="3"/>
          <c:order val="3"/>
          <c:tx>
            <c:v>Google</c:v>
          </c:tx>
          <c:spPr>
            <a:ln w="19050" cap="rnd">
              <a:solidFill>
                <a:srgbClr val="FFCA2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charts!$A$2:$A$63</c:f>
              <c:numCache>
                <c:formatCode>m/d/yyyy</c:formatCode>
                <c:ptCount val="62"/>
                <c:pt idx="0">
                  <c:v>44964</c:v>
                </c:pt>
                <c:pt idx="1">
                  <c:v>44965</c:v>
                </c:pt>
                <c:pt idx="2">
                  <c:v>44966</c:v>
                </c:pt>
                <c:pt idx="3">
                  <c:v>44967</c:v>
                </c:pt>
                <c:pt idx="4">
                  <c:v>44970</c:v>
                </c:pt>
                <c:pt idx="5">
                  <c:v>44971</c:v>
                </c:pt>
                <c:pt idx="6">
                  <c:v>44972</c:v>
                </c:pt>
                <c:pt idx="7">
                  <c:v>44973</c:v>
                </c:pt>
                <c:pt idx="8">
                  <c:v>44974</c:v>
                </c:pt>
                <c:pt idx="9">
                  <c:v>44978</c:v>
                </c:pt>
                <c:pt idx="10">
                  <c:v>44979</c:v>
                </c:pt>
                <c:pt idx="11">
                  <c:v>44980</c:v>
                </c:pt>
                <c:pt idx="12">
                  <c:v>44981</c:v>
                </c:pt>
                <c:pt idx="13">
                  <c:v>44984</c:v>
                </c:pt>
                <c:pt idx="14">
                  <c:v>44985</c:v>
                </c:pt>
                <c:pt idx="15">
                  <c:v>44986</c:v>
                </c:pt>
                <c:pt idx="16">
                  <c:v>44987</c:v>
                </c:pt>
                <c:pt idx="17">
                  <c:v>44988</c:v>
                </c:pt>
                <c:pt idx="18">
                  <c:v>44991</c:v>
                </c:pt>
                <c:pt idx="19">
                  <c:v>44992</c:v>
                </c:pt>
                <c:pt idx="20">
                  <c:v>44993</c:v>
                </c:pt>
                <c:pt idx="21">
                  <c:v>44994</c:v>
                </c:pt>
                <c:pt idx="22">
                  <c:v>44995</c:v>
                </c:pt>
                <c:pt idx="23">
                  <c:v>44998</c:v>
                </c:pt>
                <c:pt idx="24">
                  <c:v>44999</c:v>
                </c:pt>
                <c:pt idx="25">
                  <c:v>45000</c:v>
                </c:pt>
                <c:pt idx="26">
                  <c:v>45001</c:v>
                </c:pt>
                <c:pt idx="27">
                  <c:v>45002</c:v>
                </c:pt>
                <c:pt idx="28">
                  <c:v>45005</c:v>
                </c:pt>
                <c:pt idx="29">
                  <c:v>45006</c:v>
                </c:pt>
                <c:pt idx="30">
                  <c:v>45007</c:v>
                </c:pt>
                <c:pt idx="31">
                  <c:v>45008</c:v>
                </c:pt>
                <c:pt idx="32">
                  <c:v>45009</c:v>
                </c:pt>
                <c:pt idx="33">
                  <c:v>45012</c:v>
                </c:pt>
                <c:pt idx="34">
                  <c:v>45013</c:v>
                </c:pt>
                <c:pt idx="35">
                  <c:v>45014</c:v>
                </c:pt>
                <c:pt idx="36">
                  <c:v>45015</c:v>
                </c:pt>
                <c:pt idx="37">
                  <c:v>45016</c:v>
                </c:pt>
                <c:pt idx="38">
                  <c:v>45019</c:v>
                </c:pt>
                <c:pt idx="39">
                  <c:v>45020</c:v>
                </c:pt>
                <c:pt idx="40">
                  <c:v>45021</c:v>
                </c:pt>
                <c:pt idx="41">
                  <c:v>45022</c:v>
                </c:pt>
                <c:pt idx="42">
                  <c:v>45026</c:v>
                </c:pt>
                <c:pt idx="43">
                  <c:v>45027</c:v>
                </c:pt>
                <c:pt idx="44">
                  <c:v>45028</c:v>
                </c:pt>
                <c:pt idx="45">
                  <c:v>45029</c:v>
                </c:pt>
                <c:pt idx="46">
                  <c:v>45030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45040</c:v>
                </c:pt>
                <c:pt idx="53">
                  <c:v>45041</c:v>
                </c:pt>
                <c:pt idx="54">
                  <c:v>45042</c:v>
                </c:pt>
                <c:pt idx="55">
                  <c:v>45043</c:v>
                </c:pt>
                <c:pt idx="56">
                  <c:v>45044</c:v>
                </c:pt>
                <c:pt idx="57">
                  <c:v>45047</c:v>
                </c:pt>
                <c:pt idx="58">
                  <c:v>45048</c:v>
                </c:pt>
                <c:pt idx="59">
                  <c:v>45049</c:v>
                </c:pt>
                <c:pt idx="60">
                  <c:v>45050</c:v>
                </c:pt>
                <c:pt idx="61">
                  <c:v>45051</c:v>
                </c:pt>
              </c:numCache>
            </c:numRef>
          </c:cat>
          <c:val>
            <c:numRef>
              <c:f>charts!$R$2:$R$63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3.5783703190873886E-2</c:v>
                </c:pt>
                <c:pt idx="7" formatCode="0.00">
                  <c:v>3.2692534792832004E-2</c:v>
                </c:pt>
                <c:pt idx="8" formatCode="0.00">
                  <c:v>2.0561830394645347E-2</c:v>
                </c:pt>
                <c:pt idx="9" formatCode="0.00">
                  <c:v>1.5460924666899259E-2</c:v>
                </c:pt>
                <c:pt idx="10" formatCode="0.00">
                  <c:v>1.5473421872571586E-2</c:v>
                </c:pt>
                <c:pt idx="11" formatCode="0.00">
                  <c:v>1.5268365191909003E-2</c:v>
                </c:pt>
                <c:pt idx="12" formatCode="0.00">
                  <c:v>1.5757092510564816E-2</c:v>
                </c:pt>
                <c:pt idx="13" formatCode="0.00">
                  <c:v>1.136549315776457E-2</c:v>
                </c:pt>
                <c:pt idx="14" formatCode="0.00">
                  <c:v>1.220616471046204E-2</c:v>
                </c:pt>
                <c:pt idx="15" formatCode="0.00">
                  <c:v>1.264418207810355E-2</c:v>
                </c:pt>
                <c:pt idx="16" formatCode="0.00">
                  <c:v>1.2261613870140412E-2</c:v>
                </c:pt>
                <c:pt idx="17" formatCode="0.00">
                  <c:v>1.3865769473870141E-2</c:v>
                </c:pt>
                <c:pt idx="18" formatCode="0.00">
                  <c:v>1.3587163871368569E-2</c:v>
                </c:pt>
                <c:pt idx="19" formatCode="0.00">
                  <c:v>1.2303080073802168E-2</c:v>
                </c:pt>
                <c:pt idx="20" formatCode="0.00">
                  <c:v>1.2330635763838865E-2</c:v>
                </c:pt>
                <c:pt idx="21" formatCode="0.00">
                  <c:v>1.6348091205838154E-2</c:v>
                </c:pt>
                <c:pt idx="22" formatCode="0.00">
                  <c:v>1.8305897628144038E-2</c:v>
                </c:pt>
                <c:pt idx="23" formatCode="0.00">
                  <c:v>1.6666677961952019E-2</c:v>
                </c:pt>
                <c:pt idx="24" formatCode="0.00">
                  <c:v>1.882255138217731E-2</c:v>
                </c:pt>
                <c:pt idx="25" formatCode="0.00">
                  <c:v>2.0122160323722944E-2</c:v>
                </c:pt>
                <c:pt idx="26" formatCode="0.00">
                  <c:v>2.4707941013786244E-2</c:v>
                </c:pt>
                <c:pt idx="27" formatCode="0.00">
                  <c:v>2.4614052760076537E-2</c:v>
                </c:pt>
                <c:pt idx="28" formatCode="0.00">
                  <c:v>2.1658822522372875E-2</c:v>
                </c:pt>
                <c:pt idx="29" formatCode="0.00">
                  <c:v>1.8052924187269052E-2</c:v>
                </c:pt>
                <c:pt idx="30" formatCode="0.00">
                  <c:v>2.2552170127065105E-2</c:v>
                </c:pt>
                <c:pt idx="31" formatCode="0.00">
                  <c:v>2.2176511407977703E-2</c:v>
                </c:pt>
                <c:pt idx="32" formatCode="0.00">
                  <c:v>2.3020071911775117E-2</c:v>
                </c:pt>
                <c:pt idx="33" formatCode="0.00">
                  <c:v>2.2528394233472086E-2</c:v>
                </c:pt>
                <c:pt idx="34" formatCode="0.00">
                  <c:v>2.3019001074661101E-2</c:v>
                </c:pt>
                <c:pt idx="35" formatCode="0.00">
                  <c:v>2.3067825823894383E-2</c:v>
                </c:pt>
                <c:pt idx="36" formatCode="0.00">
                  <c:v>1.5772992840291811E-2</c:v>
                </c:pt>
                <c:pt idx="37" formatCode="0.00">
                  <c:v>1.9231704877562723E-2</c:v>
                </c:pt>
                <c:pt idx="38" formatCode="0.00">
                  <c:v>1.7761076169581051E-2</c:v>
                </c:pt>
                <c:pt idx="39" formatCode="0.00">
                  <c:v>1.7814638714421818E-2</c:v>
                </c:pt>
                <c:pt idx="40" formatCode="0.00">
                  <c:v>1.3326738487758375E-2</c:v>
                </c:pt>
                <c:pt idx="41" formatCode="0.00">
                  <c:v>1.5821033047761848E-2</c:v>
                </c:pt>
                <c:pt idx="42" formatCode="0.00">
                  <c:v>1.9151242722205364E-2</c:v>
                </c:pt>
                <c:pt idx="43" formatCode="0.00">
                  <c:v>1.9395743727421727E-2</c:v>
                </c:pt>
                <c:pt idx="44" formatCode="0.00">
                  <c:v>1.7933940966392111E-2</c:v>
                </c:pt>
                <c:pt idx="45" formatCode="0.00">
                  <c:v>2.0516240789204002E-2</c:v>
                </c:pt>
                <c:pt idx="46" formatCode="0.00">
                  <c:v>2.0641540018676064E-2</c:v>
                </c:pt>
                <c:pt idx="47" formatCode="0.00">
                  <c:v>2.4290137076800347E-2</c:v>
                </c:pt>
                <c:pt idx="48" formatCode="0.00">
                  <c:v>1.8890311056764329E-2</c:v>
                </c:pt>
                <c:pt idx="49" formatCode="0.00">
                  <c:v>1.800832002376189E-2</c:v>
                </c:pt>
                <c:pt idx="50" formatCode="0.00">
                  <c:v>1.8248114999421597E-2</c:v>
                </c:pt>
                <c:pt idx="51" formatCode="0.00">
                  <c:v>1.7880042314732926E-2</c:v>
                </c:pt>
                <c:pt idx="52" formatCode="0.00">
                  <c:v>1.3991543441215632E-2</c:v>
                </c:pt>
                <c:pt idx="53" formatCode="0.00">
                  <c:v>1.4073101831785485E-2</c:v>
                </c:pt>
                <c:pt idx="54" formatCode="0.00">
                  <c:v>1.0449544090237765E-2</c:v>
                </c:pt>
                <c:pt idx="55" formatCode="0.00">
                  <c:v>1.7423381332031928E-2</c:v>
                </c:pt>
                <c:pt idx="56" formatCode="0.00">
                  <c:v>1.7446652876092688E-2</c:v>
                </c:pt>
                <c:pt idx="57" formatCode="0.00">
                  <c:v>1.765274006975083E-2</c:v>
                </c:pt>
                <c:pt idx="58" formatCode="0.00">
                  <c:v>1.9030571508637465E-2</c:v>
                </c:pt>
                <c:pt idx="59" formatCode="0.00">
                  <c:v>1.8725520590898482E-2</c:v>
                </c:pt>
                <c:pt idx="60" formatCode="0.00">
                  <c:v>1.7136794633986596E-2</c:v>
                </c:pt>
                <c:pt idx="61" formatCode="0.00">
                  <c:v>1.7380654753748222E-2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6-459B-8A50-42F8167C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86248"/>
        <c:axId val="192588296"/>
      </c:lineChart>
      <c:dateAx>
        <c:axId val="192586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8296"/>
        <c:crosses val="autoZero"/>
        <c:auto val="1"/>
        <c:lblOffset val="100"/>
        <c:baseTimeUnit val="days"/>
      </c:dateAx>
      <c:valAx>
        <c:axId val="19258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D4D4D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0</xdr:row>
      <xdr:rowOff>76200</xdr:rowOff>
    </xdr:from>
    <xdr:to>
      <xdr:col>20</xdr:col>
      <xdr:colOff>409575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29665-7BD4-5E02-50FE-7D2A48860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85725</xdr:rowOff>
    </xdr:from>
    <xdr:to>
      <xdr:col>16</xdr:col>
      <xdr:colOff>561975</xdr:colOff>
      <xdr:row>4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72350-02F6-AEF4-9375-0F6EED9A9E0C}"/>
            </a:ext>
            <a:ext uri="{147F2762-F138-4A5C-976F-8EAC2B608ADB}">
              <a16:predDERef xmlns:a16="http://schemas.microsoft.com/office/drawing/2014/main" pred="{A3829665-7BD4-5E02-50FE-7D2A488606B3}"/>
            </a:ext>
          </a:extLst>
        </xdr:cNvPr>
        <xdr:cNvSpPr txBox="1"/>
      </xdr:nvSpPr>
      <xdr:spPr>
        <a:xfrm>
          <a:off x="12020550" y="466725"/>
          <a:ext cx="2076450" cy="3810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lt"/>
              <a:cs typeface="+mn-lt"/>
            </a:rPr>
            <a:t>Moving average dipped below price — showing possible weakness.</a:t>
          </a:r>
        </a:p>
      </xdr:txBody>
    </xdr:sp>
    <xdr:clientData/>
  </xdr:twoCellAnchor>
  <xdr:twoCellAnchor>
    <xdr:from>
      <xdr:col>12</xdr:col>
      <xdr:colOff>161925</xdr:colOff>
      <xdr:row>12</xdr:row>
      <xdr:rowOff>104775</xdr:rowOff>
    </xdr:from>
    <xdr:to>
      <xdr:col>20</xdr:col>
      <xdr:colOff>219075</xdr:colOff>
      <xdr:row>27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1B5622-F3A9-6480-33A9-7C0E73DC8FF9}"/>
            </a:ext>
            <a:ext uri="{147F2762-F138-4A5C-976F-8EAC2B608ADB}">
              <a16:predDERef xmlns:a16="http://schemas.microsoft.com/office/drawing/2014/main" pred="{89A72350-02F6-AEF4-9375-0F6EED9A9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390525</xdr:colOff>
      <xdr:row>28</xdr:row>
      <xdr:rowOff>95250</xdr:rowOff>
    </xdr:from>
    <xdr:to>
      <xdr:col>20</xdr:col>
      <xdr:colOff>171450</xdr:colOff>
      <xdr:row>43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0DD360-89F8-35CE-79E5-9CADECF8D540}"/>
            </a:ext>
            <a:ext uri="{147F2762-F138-4A5C-976F-8EAC2B608ADB}">
              <a16:predDERef xmlns:a16="http://schemas.microsoft.com/office/drawing/2014/main" pred="{561B5622-F3A9-6480-33A9-7C0E73DC8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32</xdr:row>
      <xdr:rowOff>28575</xdr:rowOff>
    </xdr:from>
    <xdr:to>
      <xdr:col>16</xdr:col>
      <xdr:colOff>438150</xdr:colOff>
      <xdr:row>33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9327DA-C40D-B7EE-1C1F-1FC9DED7533B}"/>
            </a:ext>
            <a:ext uri="{147F2762-F138-4A5C-976F-8EAC2B608ADB}">
              <a16:predDERef xmlns:a16="http://schemas.microsoft.com/office/drawing/2014/main" pred="{390DD360-89F8-35CE-79E5-9CADECF8D540}"/>
            </a:ext>
          </a:extLst>
        </xdr:cNvPr>
        <xdr:cNvSpPr txBox="1"/>
      </xdr:nvSpPr>
      <xdr:spPr>
        <a:xfrm>
          <a:off x="12115800" y="6124575"/>
          <a:ext cx="1857375" cy="2286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i="1">
              <a:latin typeface="+mn-lt"/>
              <a:ea typeface="+mn-lt"/>
              <a:cs typeface="+mn-lt"/>
            </a:rPr>
            <a:t> volatility</a:t>
          </a:r>
          <a:r>
            <a:rPr lang="en-US" sz="11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spikes in march.</a:t>
          </a:r>
        </a:p>
      </xdr:txBody>
    </xdr:sp>
    <xdr:clientData/>
  </xdr:twoCellAnchor>
  <xdr:twoCellAnchor>
    <xdr:from>
      <xdr:col>23</xdr:col>
      <xdr:colOff>38100</xdr:colOff>
      <xdr:row>0</xdr:row>
      <xdr:rowOff>0</xdr:rowOff>
    </xdr:from>
    <xdr:to>
      <xdr:col>25</xdr:col>
      <xdr:colOff>0</xdr:colOff>
      <xdr:row>2</xdr:row>
      <xdr:rowOff>104775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67F1E409-EC7F-A980-C4C5-1EB1CC3026E4}"/>
            </a:ext>
            <a:ext uri="{147F2762-F138-4A5C-976F-8EAC2B608ADB}">
              <a16:predDERef xmlns:a16="http://schemas.microsoft.com/office/drawing/2014/main" pred="{B09327DA-C40D-B7EE-1C1F-1FC9DED7533B}"/>
            </a:ext>
          </a:extLst>
        </xdr:cNvPr>
        <xdr:cNvSpPr/>
      </xdr:nvSpPr>
      <xdr:spPr>
        <a:xfrm>
          <a:off x="18554700" y="0"/>
          <a:ext cx="1181100" cy="485775"/>
        </a:xfrm>
        <a:prstGeom prst="round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 daily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0.20%</a:t>
          </a:r>
        </a:p>
        <a:p>
          <a:pPr marL="0" indent="0" algn="l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23</xdr:col>
      <xdr:colOff>38100</xdr:colOff>
      <xdr:row>3</xdr:row>
      <xdr:rowOff>19050</xdr:rowOff>
    </xdr:from>
    <xdr:to>
      <xdr:col>25</xdr:col>
      <xdr:colOff>28575</xdr:colOff>
      <xdr:row>5</xdr:row>
      <xdr:rowOff>104775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D09D7544-66B5-48AC-8E51-682EDB882603}"/>
            </a:ext>
            <a:ext uri="{147F2762-F138-4A5C-976F-8EAC2B608ADB}">
              <a16:predDERef xmlns:a16="http://schemas.microsoft.com/office/drawing/2014/main" pred="{67F1E409-EC7F-A980-C4C5-1EB1CC3026E4}"/>
            </a:ext>
          </a:extLst>
        </xdr:cNvPr>
        <xdr:cNvSpPr/>
      </xdr:nvSpPr>
      <xdr:spPr>
        <a:xfrm>
          <a:off x="18554700" y="590550"/>
          <a:ext cx="1209675" cy="466725"/>
        </a:xfrm>
        <a:prstGeom prst="round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 Volatility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1.33%</a:t>
          </a:r>
        </a:p>
        <a:p>
          <a:pPr marL="0" indent="0" algn="l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23</xdr:col>
      <xdr:colOff>47625</xdr:colOff>
      <xdr:row>6</xdr:row>
      <xdr:rowOff>19050</xdr:rowOff>
    </xdr:from>
    <xdr:to>
      <xdr:col>25</xdr:col>
      <xdr:colOff>47625</xdr:colOff>
      <xdr:row>8</xdr:row>
      <xdr:rowOff>123825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34E19F5-0C10-41D5-9290-E1F22EEB7D2F}"/>
            </a:ext>
            <a:ext uri="{147F2762-F138-4A5C-976F-8EAC2B608ADB}">
              <a16:predDERef xmlns:a16="http://schemas.microsoft.com/office/drawing/2014/main" pred="{D09D7544-66B5-48AC-8E51-682EDB882603}"/>
            </a:ext>
          </a:extLst>
        </xdr:cNvPr>
        <xdr:cNvSpPr/>
      </xdr:nvSpPr>
      <xdr:spPr>
        <a:xfrm>
          <a:off x="18564225" y="1162050"/>
          <a:ext cx="1219200" cy="485775"/>
        </a:xfrm>
        <a:prstGeom prst="round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Higesht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4.69%</a:t>
          </a:r>
        </a:p>
      </xdr:txBody>
    </xdr:sp>
    <xdr:clientData/>
  </xdr:twoCellAnchor>
  <xdr:twoCellAnchor>
    <xdr:from>
      <xdr:col>25</xdr:col>
      <xdr:colOff>219075</xdr:colOff>
      <xdr:row>0</xdr:row>
      <xdr:rowOff>38100</xdr:rowOff>
    </xdr:from>
    <xdr:to>
      <xdr:col>27</xdr:col>
      <xdr:colOff>209550</xdr:colOff>
      <xdr:row>2</xdr:row>
      <xdr:rowOff>85725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118DA20-A531-4D9B-9F0B-60F353EC182E}"/>
            </a:ext>
            <a:ext uri="{147F2762-F138-4A5C-976F-8EAC2B608ADB}">
              <a16:predDERef xmlns:a16="http://schemas.microsoft.com/office/drawing/2014/main" pred="{134E19F5-0C10-41D5-9290-E1F22EEB7D2F}"/>
            </a:ext>
          </a:extLst>
        </xdr:cNvPr>
        <xdr:cNvSpPr/>
      </xdr:nvSpPr>
      <xdr:spPr>
        <a:xfrm>
          <a:off x="19954875" y="38100"/>
          <a:ext cx="1209675" cy="428625"/>
        </a:xfrm>
        <a:prstGeom prst="roundRect">
          <a:avLst/>
        </a:prstGeom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Lowest Return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-2.67%</a:t>
          </a:r>
        </a:p>
        <a:p>
          <a:pPr marL="0" indent="0" algn="l"/>
          <a:endParaRPr lang="en-US" sz="12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25</xdr:col>
      <xdr:colOff>209550</xdr:colOff>
      <xdr:row>3</xdr:row>
      <xdr:rowOff>9525</xdr:rowOff>
    </xdr:from>
    <xdr:to>
      <xdr:col>27</xdr:col>
      <xdr:colOff>257175</xdr:colOff>
      <xdr:row>5</xdr:row>
      <xdr:rowOff>76200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E1CBB3DA-E661-4AC6-B622-93B968720ABA}"/>
            </a:ext>
            <a:ext uri="{147F2762-F138-4A5C-976F-8EAC2B608ADB}">
              <a16:predDERef xmlns:a16="http://schemas.microsoft.com/office/drawing/2014/main" pred="{0118DA20-A531-4D9B-9F0B-60F353EC182E}"/>
            </a:ext>
          </a:extLst>
        </xdr:cNvPr>
        <xdr:cNvSpPr/>
      </xdr:nvSpPr>
      <xdr:spPr>
        <a:xfrm>
          <a:off x="19945350" y="581025"/>
          <a:ext cx="1266825" cy="447675"/>
        </a:xfrm>
        <a:prstGeom prst="round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Recent Volatility 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1.33%</a:t>
          </a:r>
        </a:p>
      </xdr:txBody>
    </xdr:sp>
    <xdr:clientData/>
  </xdr:twoCellAnchor>
  <xdr:twoCellAnchor>
    <xdr:from>
      <xdr:col>16</xdr:col>
      <xdr:colOff>228600</xdr:colOff>
      <xdr:row>14</xdr:row>
      <xdr:rowOff>180975</xdr:rowOff>
    </xdr:from>
    <xdr:to>
      <xdr:col>20</xdr:col>
      <xdr:colOff>76200</xdr:colOff>
      <xdr:row>16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004C93-3391-C55B-9552-1BA76AA238DF}"/>
            </a:ext>
            <a:ext uri="{147F2762-F138-4A5C-976F-8EAC2B608ADB}">
              <a16:predDERef xmlns:a16="http://schemas.microsoft.com/office/drawing/2014/main" pred="{E1CBB3DA-E661-4AC6-B622-93B968720ABA}"/>
            </a:ext>
          </a:extLst>
        </xdr:cNvPr>
        <xdr:cNvSpPr txBox="1"/>
      </xdr:nvSpPr>
      <xdr:spPr>
        <a:xfrm>
          <a:off x="13763625" y="2847975"/>
          <a:ext cx="2286000" cy="361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Moderate daily swings with brief upward spikes, reflecting steady overall performance.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30</xdr:row>
      <xdr:rowOff>38100</xdr:rowOff>
    </xdr:from>
    <xdr:to>
      <xdr:col>19</xdr:col>
      <xdr:colOff>552450</xdr:colOff>
      <xdr:row>44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AD375-56C8-4385-8E6E-6681B48F0672}"/>
            </a:ext>
            <a:ext uri="{147F2762-F138-4A5C-976F-8EAC2B608ADB}">
              <a16:predDERef xmlns:a16="http://schemas.microsoft.com/office/drawing/2014/main" pred="{0CDDA2B2-14F0-402E-97BE-A5D30ADE8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314325</xdr:colOff>
      <xdr:row>14</xdr:row>
      <xdr:rowOff>180975</xdr:rowOff>
    </xdr:from>
    <xdr:to>
      <xdr:col>19</xdr:col>
      <xdr:colOff>533400</xdr:colOff>
      <xdr:row>29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27A260-82DD-406A-91EA-47D12A1E0304}"/>
            </a:ext>
            <a:ext uri="{147F2762-F138-4A5C-976F-8EAC2B608ADB}">
              <a16:predDERef xmlns:a16="http://schemas.microsoft.com/office/drawing/2014/main" pred="{5B2AD375-56C8-4385-8E6E-6681B48F0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257175</xdr:colOff>
      <xdr:row>0</xdr:row>
      <xdr:rowOff>152400</xdr:rowOff>
    </xdr:from>
    <xdr:to>
      <xdr:col>19</xdr:col>
      <xdr:colOff>561975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2FFB7E-6287-4AEC-90BC-30BC613FD3E7}"/>
            </a:ext>
            <a:ext uri="{147F2762-F138-4A5C-976F-8EAC2B608ADB}">
              <a16:predDERef xmlns:a16="http://schemas.microsoft.com/office/drawing/2014/main" pred="{F827A260-82DD-406A-91EA-47D12A1E0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133350</xdr:colOff>
      <xdr:row>0</xdr:row>
      <xdr:rowOff>57150</xdr:rowOff>
    </xdr:from>
    <xdr:to>
      <xdr:col>24</xdr:col>
      <xdr:colOff>161925</xdr:colOff>
      <xdr:row>3</xdr:row>
      <xdr:rowOff>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13CA1316-4322-4C61-8094-9979721F8DFF}"/>
            </a:ext>
            <a:ext uri="{147F2762-F138-4A5C-976F-8EAC2B608ADB}">
              <a16:predDERef xmlns:a16="http://schemas.microsoft.com/office/drawing/2014/main" pred="{9E2FFB7E-6287-4AEC-90BC-30BC613FD3E7}"/>
            </a:ext>
          </a:extLst>
        </xdr:cNvPr>
        <xdr:cNvSpPr/>
      </xdr:nvSpPr>
      <xdr:spPr>
        <a:xfrm>
          <a:off x="17154525" y="571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Avg 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Daily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0.26%</a:t>
          </a:r>
        </a:p>
      </xdr:txBody>
    </xdr:sp>
    <xdr:clientData/>
  </xdr:twoCellAnchor>
  <xdr:twoCellAnchor>
    <xdr:from>
      <xdr:col>22</xdr:col>
      <xdr:colOff>133350</xdr:colOff>
      <xdr:row>3</xdr:row>
      <xdr:rowOff>95250</xdr:rowOff>
    </xdr:from>
    <xdr:to>
      <xdr:col>24</xdr:col>
      <xdr:colOff>161925</xdr:colOff>
      <xdr:row>6</xdr:row>
      <xdr:rowOff>38100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E1C88C02-EB81-43C6-B0BB-6CD449E72FD9}"/>
            </a:ext>
            <a:ext uri="{147F2762-F138-4A5C-976F-8EAC2B608ADB}">
              <a16:predDERef xmlns:a16="http://schemas.microsoft.com/office/drawing/2014/main" pred="{13CA1316-4322-4C61-8094-9979721F8DFF}"/>
            </a:ext>
          </a:extLst>
        </xdr:cNvPr>
        <xdr:cNvSpPr/>
      </xdr:nvSpPr>
      <xdr:spPr>
        <a:xfrm>
          <a:off x="17154525" y="6667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Hig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</a:t>
          </a:r>
          <a:r>
            <a:rPr lang="en-US" sz="11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est 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7.24%</a:t>
          </a:r>
        </a:p>
      </xdr:txBody>
    </xdr:sp>
    <xdr:clientData/>
  </xdr:twoCellAnchor>
  <xdr:twoCellAnchor>
    <xdr:from>
      <xdr:col>24</xdr:col>
      <xdr:colOff>371475</xdr:colOff>
      <xdr:row>3</xdr:row>
      <xdr:rowOff>104775</xdr:rowOff>
    </xdr:from>
    <xdr:to>
      <xdr:col>26</xdr:col>
      <xdr:colOff>400050</xdr:colOff>
      <xdr:row>6</xdr:row>
      <xdr:rowOff>47625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D9AF4C2C-0B8F-4576-A7C4-7DD115B024C8}"/>
            </a:ext>
            <a:ext uri="{147F2762-F138-4A5C-976F-8EAC2B608ADB}">
              <a16:predDERef xmlns:a16="http://schemas.microsoft.com/office/drawing/2014/main" pred="{E1C88C02-EB81-43C6-B0BB-6CD449E72FD9}"/>
            </a:ext>
          </a:extLst>
        </xdr:cNvPr>
        <xdr:cNvSpPr/>
      </xdr:nvSpPr>
      <xdr:spPr>
        <a:xfrm>
          <a:off x="18611850" y="67627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Lowest Return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-2.66%</a:t>
          </a:r>
        </a:p>
      </xdr:txBody>
    </xdr:sp>
    <xdr:clientData/>
  </xdr:twoCellAnchor>
  <xdr:twoCellAnchor>
    <xdr:from>
      <xdr:col>24</xdr:col>
      <xdr:colOff>371475</xdr:colOff>
      <xdr:row>0</xdr:row>
      <xdr:rowOff>57150</xdr:rowOff>
    </xdr:from>
    <xdr:to>
      <xdr:col>26</xdr:col>
      <xdr:colOff>400050</xdr:colOff>
      <xdr:row>3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8767D0D9-5AF3-4F64-9F42-46BA4764C150}"/>
            </a:ext>
            <a:ext uri="{147F2762-F138-4A5C-976F-8EAC2B608ADB}">
              <a16:predDERef xmlns:a16="http://schemas.microsoft.com/office/drawing/2014/main" pred="{D9AF4C2C-0B8F-4576-A7C4-7DD115B024C8}"/>
            </a:ext>
          </a:extLst>
        </xdr:cNvPr>
        <xdr:cNvSpPr/>
      </xdr:nvSpPr>
      <xdr:spPr>
        <a:xfrm>
          <a:off x="18611850" y="571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Avg Volatility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1.74%</a:t>
          </a:r>
        </a:p>
      </xdr:txBody>
    </xdr:sp>
    <xdr:clientData/>
  </xdr:twoCellAnchor>
  <xdr:twoCellAnchor>
    <xdr:from>
      <xdr:col>22</xdr:col>
      <xdr:colOff>104775</xdr:colOff>
      <xdr:row>6</xdr:row>
      <xdr:rowOff>133350</xdr:rowOff>
    </xdr:from>
    <xdr:to>
      <xdr:col>24</xdr:col>
      <xdr:colOff>133350</xdr:colOff>
      <xdr:row>9</xdr:row>
      <xdr:rowOff>76200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5C4E8867-66D2-47DB-85B3-B67E197D744A}"/>
            </a:ext>
            <a:ext uri="{147F2762-F138-4A5C-976F-8EAC2B608ADB}">
              <a16:predDERef xmlns:a16="http://schemas.microsoft.com/office/drawing/2014/main" pred="{8767D0D9-5AF3-4F64-9F42-46BA4764C150}"/>
            </a:ext>
          </a:extLst>
        </xdr:cNvPr>
        <xdr:cNvSpPr/>
      </xdr:nvSpPr>
      <xdr:spPr>
        <a:xfrm>
          <a:off x="17125950" y="12763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Recent</a:t>
          </a:r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Volatility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3.30%</a:t>
          </a:r>
        </a:p>
      </xdr:txBody>
    </xdr:sp>
    <xdr:clientData/>
  </xdr:twoCellAnchor>
  <xdr:twoCellAnchor>
    <xdr:from>
      <xdr:col>16</xdr:col>
      <xdr:colOff>76200</xdr:colOff>
      <xdr:row>4</xdr:row>
      <xdr:rowOff>161925</xdr:rowOff>
    </xdr:from>
    <xdr:to>
      <xdr:col>19</xdr:col>
      <xdr:colOff>342900</xdr:colOff>
      <xdr:row>7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5185F0-62D9-56E9-85C5-EC8FFB0E1A35}"/>
            </a:ext>
            <a:ext uri="{147F2762-F138-4A5C-976F-8EAC2B608ADB}">
              <a16:predDERef xmlns:a16="http://schemas.microsoft.com/office/drawing/2014/main" pred="{5C4E8867-66D2-47DB-85B3-B67E197D744A}"/>
            </a:ext>
          </a:extLst>
        </xdr:cNvPr>
        <xdr:cNvSpPr txBox="1"/>
      </xdr:nvSpPr>
      <xdr:spPr>
        <a:xfrm>
          <a:off x="12573000" y="923925"/>
          <a:ext cx="209550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Stock shows steady upward momentum with minimal deviation from trend.</a:t>
          </a:r>
        </a:p>
      </xdr:txBody>
    </xdr:sp>
    <xdr:clientData/>
  </xdr:twoCellAnchor>
  <xdr:twoCellAnchor>
    <xdr:from>
      <xdr:col>15</xdr:col>
      <xdr:colOff>228600</xdr:colOff>
      <xdr:row>17</xdr:row>
      <xdr:rowOff>9525</xdr:rowOff>
    </xdr:from>
    <xdr:to>
      <xdr:col>18</xdr:col>
      <xdr:colOff>581025</xdr:colOff>
      <xdr:row>19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36E38C-08CE-44B2-333C-B23C66C8E0DE}"/>
            </a:ext>
            <a:ext uri="{147F2762-F138-4A5C-976F-8EAC2B608ADB}">
              <a16:predDERef xmlns:a16="http://schemas.microsoft.com/office/drawing/2014/main" pred="{FF5185F0-62D9-56E9-85C5-EC8FFB0E1A35}"/>
            </a:ext>
          </a:extLst>
        </xdr:cNvPr>
        <xdr:cNvSpPr txBox="1"/>
      </xdr:nvSpPr>
      <xdr:spPr>
        <a:xfrm>
          <a:off x="12115800" y="3248025"/>
          <a:ext cx="2181225" cy="4667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Moderate daily fluctuations with a strong upside spike in early May.</a:t>
          </a:r>
        </a:p>
      </xdr:txBody>
    </xdr:sp>
    <xdr:clientData/>
  </xdr:twoCellAnchor>
  <xdr:twoCellAnchor>
    <xdr:from>
      <xdr:col>15</xdr:col>
      <xdr:colOff>514350</xdr:colOff>
      <xdr:row>32</xdr:row>
      <xdr:rowOff>104775</xdr:rowOff>
    </xdr:from>
    <xdr:to>
      <xdr:col>19</xdr:col>
      <xdr:colOff>123825</xdr:colOff>
      <xdr:row>34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E135DCB-0F4B-6628-586F-86D4DC498A0C}"/>
            </a:ext>
            <a:ext uri="{147F2762-F138-4A5C-976F-8EAC2B608ADB}">
              <a16:predDERef xmlns:a16="http://schemas.microsoft.com/office/drawing/2014/main" pred="{7736E38C-08CE-44B2-333C-B23C66C8E0DE}"/>
            </a:ext>
          </a:extLst>
        </xdr:cNvPr>
        <xdr:cNvSpPr txBox="1"/>
      </xdr:nvSpPr>
      <xdr:spPr>
        <a:xfrm>
          <a:off x="12401550" y="6200775"/>
          <a:ext cx="2047875" cy="4381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Volatility rose sharply in early May, indicating short-term market reaction.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30</xdr:row>
      <xdr:rowOff>180975</xdr:rowOff>
    </xdr:from>
    <xdr:to>
      <xdr:col>19</xdr:col>
      <xdr:colOff>571500</xdr:colOff>
      <xdr:row>46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1E986-59B3-4DC2-87F6-F0B2EDD263E9}"/>
            </a:ext>
            <a:ext uri="{147F2762-F138-4A5C-976F-8EAC2B608ADB}">
              <a16:predDERef xmlns:a16="http://schemas.microsoft.com/office/drawing/2014/main" pred="{0CDDA2B2-14F0-402E-97BE-A5D30ADE8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276225</xdr:colOff>
      <xdr:row>15</xdr:row>
      <xdr:rowOff>180975</xdr:rowOff>
    </xdr:from>
    <xdr:to>
      <xdr:col>19</xdr:col>
      <xdr:colOff>495300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02734-4AA2-48AB-9E4B-2E3904BCD733}"/>
            </a:ext>
            <a:ext uri="{147F2762-F138-4A5C-976F-8EAC2B608ADB}">
              <a16:predDERef xmlns:a16="http://schemas.microsoft.com/office/drawing/2014/main" pred="{9BD1E986-59B3-4DC2-87F6-F0B2EDD26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152400</xdr:colOff>
      <xdr:row>0</xdr:row>
      <xdr:rowOff>66675</xdr:rowOff>
    </xdr:from>
    <xdr:to>
      <xdr:col>19</xdr:col>
      <xdr:colOff>390525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67E380-5C57-537B-B577-992EAE3E2D4E}"/>
            </a:ext>
            <a:ext uri="{147F2762-F138-4A5C-976F-8EAC2B608ADB}">
              <a16:predDERef xmlns:a16="http://schemas.microsoft.com/office/drawing/2014/main" pred="{08702734-4AA2-48AB-9E4B-2E3904BCD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</xdr:colOff>
      <xdr:row>4</xdr:row>
      <xdr:rowOff>123825</xdr:rowOff>
    </xdr:from>
    <xdr:to>
      <xdr:col>17</xdr:col>
      <xdr:colOff>180975</xdr:colOff>
      <xdr:row>7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D4CC6F-7BDA-929E-7B96-1F84FFCB771E}"/>
            </a:ext>
            <a:ext uri="{147F2762-F138-4A5C-976F-8EAC2B608ADB}">
              <a16:predDERef xmlns:a16="http://schemas.microsoft.com/office/drawing/2014/main" pred="{DD67E380-5C57-537B-B577-992EAE3E2D4E}"/>
            </a:ext>
          </a:extLst>
        </xdr:cNvPr>
        <xdr:cNvSpPr txBox="1"/>
      </xdr:nvSpPr>
      <xdr:spPr>
        <a:xfrm>
          <a:off x="12163425" y="885825"/>
          <a:ext cx="2390775" cy="4667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Price remains stable with minor fluctuations — trend shows short-term consistency</a:t>
          </a:r>
          <a:r>
            <a:rPr lang="en-US" sz="900" i="1" u="none" strike="noStrike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</a:p>
      </xdr:txBody>
    </xdr:sp>
    <xdr:clientData/>
  </xdr:twoCellAnchor>
  <xdr:twoCellAnchor>
    <xdr:from>
      <xdr:col>13</xdr:col>
      <xdr:colOff>133350</xdr:colOff>
      <xdr:row>17</xdr:row>
      <xdr:rowOff>180975</xdr:rowOff>
    </xdr:from>
    <xdr:to>
      <xdr:col>16</xdr:col>
      <xdr:colOff>285750</xdr:colOff>
      <xdr:row>20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2FFE0-5AA1-CE81-8D0D-0F29B8D9CC83}"/>
            </a:ext>
            <a:ext uri="{147F2762-F138-4A5C-976F-8EAC2B608ADB}">
              <a16:predDERef xmlns:a16="http://schemas.microsoft.com/office/drawing/2014/main" pred="{F4D4CC6F-7BDA-929E-7B96-1F84FFCB771E}"/>
            </a:ext>
          </a:extLst>
        </xdr:cNvPr>
        <xdr:cNvSpPr txBox="1"/>
      </xdr:nvSpPr>
      <xdr:spPr>
        <a:xfrm>
          <a:off x="12068175" y="3419475"/>
          <a:ext cx="1981200" cy="400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Sharp short-term spikes reflect high daily volatility but no sustained trend.</a:t>
          </a:r>
        </a:p>
      </xdr:txBody>
    </xdr:sp>
    <xdr:clientData/>
  </xdr:twoCellAnchor>
  <xdr:twoCellAnchor>
    <xdr:from>
      <xdr:col>13</xdr:col>
      <xdr:colOff>447675</xdr:colOff>
      <xdr:row>33</xdr:row>
      <xdr:rowOff>38100</xdr:rowOff>
    </xdr:from>
    <xdr:to>
      <xdr:col>17</xdr:col>
      <xdr:colOff>28575</xdr:colOff>
      <xdr:row>35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5E984A-75CC-E697-8EE5-873EC85FF68B}"/>
            </a:ext>
            <a:ext uri="{147F2762-F138-4A5C-976F-8EAC2B608ADB}">
              <a16:predDERef xmlns:a16="http://schemas.microsoft.com/office/drawing/2014/main" pred="{0AB2FFE0-5AA1-CE81-8D0D-0F29B8D9CC83}"/>
            </a:ext>
          </a:extLst>
        </xdr:cNvPr>
        <xdr:cNvSpPr txBox="1"/>
      </xdr:nvSpPr>
      <xdr:spPr>
        <a:xfrm>
          <a:off x="12382500" y="6324600"/>
          <a:ext cx="2019300" cy="4857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Volatility surged in mid-March before stabilizing toward early May.</a:t>
          </a:r>
        </a:p>
      </xdr:txBody>
    </xdr:sp>
    <xdr:clientData/>
  </xdr:twoCellAnchor>
  <xdr:twoCellAnchor>
    <xdr:from>
      <xdr:col>22</xdr:col>
      <xdr:colOff>76200</xdr:colOff>
      <xdr:row>0</xdr:row>
      <xdr:rowOff>28575</xdr:rowOff>
    </xdr:from>
    <xdr:to>
      <xdr:col>24</xdr:col>
      <xdr:colOff>104775</xdr:colOff>
      <xdr:row>2</xdr:row>
      <xdr:rowOff>161925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A671949B-F774-687D-C758-EA35E8B23E61}"/>
            </a:ext>
            <a:ext uri="{147F2762-F138-4A5C-976F-8EAC2B608ADB}">
              <a16:predDERef xmlns:a16="http://schemas.microsoft.com/office/drawing/2014/main" pred="{5A5E984A-75CC-E697-8EE5-873EC85FF68B}"/>
            </a:ext>
          </a:extLst>
        </xdr:cNvPr>
        <xdr:cNvSpPr/>
      </xdr:nvSpPr>
      <xdr:spPr>
        <a:xfrm>
          <a:off x="18364200" y="2857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Avg Daily Return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-0.17%</a:t>
          </a:r>
        </a:p>
      </xdr:txBody>
    </xdr:sp>
    <xdr:clientData/>
  </xdr:twoCellAnchor>
  <xdr:twoCellAnchor>
    <xdr:from>
      <xdr:col>22</xdr:col>
      <xdr:colOff>66675</xdr:colOff>
      <xdr:row>3</xdr:row>
      <xdr:rowOff>66675</xdr:rowOff>
    </xdr:from>
    <xdr:to>
      <xdr:col>24</xdr:col>
      <xdr:colOff>95250</xdr:colOff>
      <xdr:row>6</xdr:row>
      <xdr:rowOff>9525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31C1E00-9402-4631-A9C5-89503BE27F98}"/>
            </a:ext>
            <a:ext uri="{147F2762-F138-4A5C-976F-8EAC2B608ADB}">
              <a16:predDERef xmlns:a16="http://schemas.microsoft.com/office/drawing/2014/main" pred="{A671949B-F774-687D-C758-EA35E8B23E61}"/>
            </a:ext>
          </a:extLst>
        </xdr:cNvPr>
        <xdr:cNvSpPr/>
      </xdr:nvSpPr>
      <xdr:spPr>
        <a:xfrm>
          <a:off x="18354675" y="63817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Avg Volatility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2.12%</a:t>
          </a:r>
        </a:p>
      </xdr:txBody>
    </xdr:sp>
    <xdr:clientData/>
  </xdr:twoCellAnchor>
  <xdr:twoCellAnchor>
    <xdr:from>
      <xdr:col>22</xdr:col>
      <xdr:colOff>76200</xdr:colOff>
      <xdr:row>6</xdr:row>
      <xdr:rowOff>95250</xdr:rowOff>
    </xdr:from>
    <xdr:to>
      <xdr:col>24</xdr:col>
      <xdr:colOff>104775</xdr:colOff>
      <xdr:row>9</xdr:row>
      <xdr:rowOff>38100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E8CEADA-7D36-4050-BEB0-107DEFDD8870}"/>
            </a:ext>
            <a:ext uri="{147F2762-F138-4A5C-976F-8EAC2B608ADB}">
              <a16:predDERef xmlns:a16="http://schemas.microsoft.com/office/drawing/2014/main" pred="{631C1E00-9402-4631-A9C5-89503BE27F98}"/>
            </a:ext>
          </a:extLst>
        </xdr:cNvPr>
        <xdr:cNvSpPr/>
      </xdr:nvSpPr>
      <xdr:spPr>
        <a:xfrm>
          <a:off x="18364200" y="12382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Highest Return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9.01%</a:t>
          </a:r>
        </a:p>
      </xdr:txBody>
    </xdr:sp>
    <xdr:clientData/>
  </xdr:twoCellAnchor>
  <xdr:twoCellAnchor>
    <xdr:from>
      <xdr:col>24</xdr:col>
      <xdr:colOff>228600</xdr:colOff>
      <xdr:row>3</xdr:row>
      <xdr:rowOff>66675</xdr:rowOff>
    </xdr:from>
    <xdr:to>
      <xdr:col>26</xdr:col>
      <xdr:colOff>257175</xdr:colOff>
      <xdr:row>6</xdr:row>
      <xdr:rowOff>9525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8FF41E57-67CD-4F05-B2EF-2BD16D6AB576}"/>
            </a:ext>
            <a:ext uri="{147F2762-F138-4A5C-976F-8EAC2B608ADB}">
              <a16:predDERef xmlns:a16="http://schemas.microsoft.com/office/drawing/2014/main" pred="{0E8CEADA-7D36-4050-BEB0-107DEFDD8870}"/>
            </a:ext>
          </a:extLst>
        </xdr:cNvPr>
        <xdr:cNvSpPr/>
      </xdr:nvSpPr>
      <xdr:spPr>
        <a:xfrm>
          <a:off x="19735800" y="63817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Recent Vola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tility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1.67%</a:t>
          </a:r>
        </a:p>
      </xdr:txBody>
    </xdr:sp>
    <xdr:clientData/>
  </xdr:twoCellAnchor>
  <xdr:twoCellAnchor>
    <xdr:from>
      <xdr:col>24</xdr:col>
      <xdr:colOff>219075</xdr:colOff>
      <xdr:row>0</xdr:row>
      <xdr:rowOff>38100</xdr:rowOff>
    </xdr:from>
    <xdr:to>
      <xdr:col>26</xdr:col>
      <xdr:colOff>247650</xdr:colOff>
      <xdr:row>2</xdr:row>
      <xdr:rowOff>171450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C29B8536-C373-4F9B-B796-2EDE20B10F45}"/>
            </a:ext>
            <a:ext uri="{147F2762-F138-4A5C-976F-8EAC2B608ADB}">
              <a16:predDERef xmlns:a16="http://schemas.microsoft.com/office/drawing/2014/main" pred="{8FF41E57-67CD-4F05-B2EF-2BD16D6AB576}"/>
            </a:ext>
          </a:extLst>
        </xdr:cNvPr>
        <xdr:cNvSpPr/>
      </xdr:nvSpPr>
      <xdr:spPr>
        <a:xfrm>
          <a:off x="19726275" y="3810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Lowest Return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-4.49%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</xdr:row>
      <xdr:rowOff>171450</xdr:rowOff>
    </xdr:from>
    <xdr:to>
      <xdr:col>19</xdr:col>
      <xdr:colOff>419100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09F77-7B7D-48C0-B5A0-C9C15C0F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238125</xdr:colOff>
      <xdr:row>16</xdr:row>
      <xdr:rowOff>28575</xdr:rowOff>
    </xdr:from>
    <xdr:to>
      <xdr:col>19</xdr:col>
      <xdr:colOff>457200</xdr:colOff>
      <xdr:row>30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DDA2B2-14F0-402E-97BE-A5D30ADE8BD6}"/>
            </a:ext>
            <a:ext uri="{147F2762-F138-4A5C-976F-8EAC2B608ADB}">
              <a16:predDERef xmlns:a16="http://schemas.microsoft.com/office/drawing/2014/main" pred="{1F109F77-7B7D-48C0-B5A0-C9C15C0F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257175</xdr:colOff>
      <xdr:row>31</xdr:row>
      <xdr:rowOff>66675</xdr:rowOff>
    </xdr:from>
    <xdr:to>
      <xdr:col>19</xdr:col>
      <xdr:colOff>419100</xdr:colOff>
      <xdr:row>45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2068A5-0AB5-490C-8E29-B57FEF95BF3D}"/>
            </a:ext>
            <a:ext uri="{147F2762-F138-4A5C-976F-8EAC2B608ADB}">
              <a16:predDERef xmlns:a16="http://schemas.microsoft.com/office/drawing/2014/main" pred="{0CDDA2B2-14F0-402E-97BE-A5D30ADE8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104775</xdr:colOff>
      <xdr:row>0</xdr:row>
      <xdr:rowOff>57150</xdr:rowOff>
    </xdr:from>
    <xdr:to>
      <xdr:col>24</xdr:col>
      <xdr:colOff>133350</xdr:colOff>
      <xdr:row>3</xdr:row>
      <xdr:rowOff>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DC92B12-174B-46E1-AB73-63161C6CFD45}"/>
            </a:ext>
            <a:ext uri="{147F2762-F138-4A5C-976F-8EAC2B608ADB}">
              <a16:predDERef xmlns:a16="http://schemas.microsoft.com/office/drawing/2014/main" pred="{C82068A5-0AB5-490C-8E29-B57FEF95BF3D}"/>
            </a:ext>
          </a:extLst>
        </xdr:cNvPr>
        <xdr:cNvSpPr/>
      </xdr:nvSpPr>
      <xdr:spPr>
        <a:xfrm>
          <a:off x="16573500" y="571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 Daily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-0.01%</a:t>
          </a:r>
        </a:p>
      </xdr:txBody>
    </xdr:sp>
    <xdr:clientData/>
  </xdr:twoCellAnchor>
  <xdr:twoCellAnchor>
    <xdr:from>
      <xdr:col>22</xdr:col>
      <xdr:colOff>123825</xdr:colOff>
      <xdr:row>3</xdr:row>
      <xdr:rowOff>104775</xdr:rowOff>
    </xdr:from>
    <xdr:to>
      <xdr:col>24</xdr:col>
      <xdr:colOff>152400</xdr:colOff>
      <xdr:row>6</xdr:row>
      <xdr:rowOff>47625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6A573BC7-7BA9-4235-B9BE-BB9A533CA63E}"/>
            </a:ext>
            <a:ext uri="{147F2762-F138-4A5C-976F-8EAC2B608ADB}">
              <a16:predDERef xmlns:a16="http://schemas.microsoft.com/office/drawing/2014/main" pred="{DDC92B12-174B-46E1-AB73-63161C6CFD45}"/>
            </a:ext>
          </a:extLst>
        </xdr:cNvPr>
        <xdr:cNvSpPr/>
      </xdr:nvSpPr>
      <xdr:spPr>
        <a:xfrm>
          <a:off x="16592550" y="67627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</a:t>
          </a:r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Volatility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1.83%</a:t>
          </a:r>
        </a:p>
      </xdr:txBody>
    </xdr:sp>
    <xdr:clientData/>
  </xdr:twoCellAnchor>
  <xdr:twoCellAnchor>
    <xdr:from>
      <xdr:col>24</xdr:col>
      <xdr:colOff>438150</xdr:colOff>
      <xdr:row>0</xdr:row>
      <xdr:rowOff>85725</xdr:rowOff>
    </xdr:from>
    <xdr:to>
      <xdr:col>26</xdr:col>
      <xdr:colOff>466725</xdr:colOff>
      <xdr:row>3</xdr:row>
      <xdr:rowOff>28575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1796D538-7936-49E0-A366-26B8A7C384F8}"/>
            </a:ext>
            <a:ext uri="{147F2762-F138-4A5C-976F-8EAC2B608ADB}">
              <a16:predDERef xmlns:a16="http://schemas.microsoft.com/office/drawing/2014/main" pred="{6A573BC7-7BA9-4235-B9BE-BB9A533CA63E}"/>
            </a:ext>
          </a:extLst>
        </xdr:cNvPr>
        <xdr:cNvSpPr/>
      </xdr:nvSpPr>
      <xdr:spPr>
        <a:xfrm>
          <a:off x="18126075" y="85725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Lowest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-7.44%</a:t>
          </a:r>
        </a:p>
      </xdr:txBody>
    </xdr:sp>
    <xdr:clientData/>
  </xdr:twoCellAnchor>
  <xdr:twoCellAnchor>
    <xdr:from>
      <xdr:col>24</xdr:col>
      <xdr:colOff>457200</xdr:colOff>
      <xdr:row>3</xdr:row>
      <xdr:rowOff>133350</xdr:rowOff>
    </xdr:from>
    <xdr:to>
      <xdr:col>26</xdr:col>
      <xdr:colOff>485775</xdr:colOff>
      <xdr:row>6</xdr:row>
      <xdr:rowOff>76200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E8715F87-E7EC-4699-BA75-7A0100203C85}"/>
            </a:ext>
            <a:ext uri="{147F2762-F138-4A5C-976F-8EAC2B608ADB}">
              <a16:predDERef xmlns:a16="http://schemas.microsoft.com/office/drawing/2014/main" pred="{1796D538-7936-49E0-A366-26B8A7C384F8}"/>
            </a:ext>
          </a:extLst>
        </xdr:cNvPr>
        <xdr:cNvSpPr/>
      </xdr:nvSpPr>
      <xdr:spPr>
        <a:xfrm>
          <a:off x="18145125" y="7048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Recent</a:t>
          </a:r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Volatility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1.74%</a:t>
          </a:r>
        </a:p>
      </xdr:txBody>
    </xdr:sp>
    <xdr:clientData/>
  </xdr:twoCellAnchor>
  <xdr:twoCellAnchor>
    <xdr:from>
      <xdr:col>22</xdr:col>
      <xdr:colOff>133350</xdr:colOff>
      <xdr:row>6</xdr:row>
      <xdr:rowOff>133350</xdr:rowOff>
    </xdr:from>
    <xdr:to>
      <xdr:col>24</xdr:col>
      <xdr:colOff>161925</xdr:colOff>
      <xdr:row>9</xdr:row>
      <xdr:rowOff>76200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5973D78-905B-48A0-8076-0842B1885FDE}"/>
            </a:ext>
            <a:ext uri="{147F2762-F138-4A5C-976F-8EAC2B608ADB}">
              <a16:predDERef xmlns:a16="http://schemas.microsoft.com/office/drawing/2014/main" pred="{E8715F87-E7EC-4699-BA75-7A0100203C85}"/>
            </a:ext>
          </a:extLst>
        </xdr:cNvPr>
        <xdr:cNvSpPr/>
      </xdr:nvSpPr>
      <xdr:spPr>
        <a:xfrm>
          <a:off x="16602075" y="1276350"/>
          <a:ext cx="1247775" cy="514350"/>
        </a:xfrm>
        <a:prstGeom prst="roundRect">
          <a:avLst/>
        </a:prstGeom>
        <a:ln>
          <a:noFill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Highest Return</a:t>
          </a:r>
        </a:p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4.68%</a:t>
          </a:r>
        </a:p>
      </xdr:txBody>
    </xdr:sp>
    <xdr:clientData/>
  </xdr:twoCellAnchor>
  <xdr:twoCellAnchor>
    <xdr:from>
      <xdr:col>15</xdr:col>
      <xdr:colOff>57150</xdr:colOff>
      <xdr:row>5</xdr:row>
      <xdr:rowOff>123825</xdr:rowOff>
    </xdr:from>
    <xdr:to>
      <xdr:col>18</xdr:col>
      <xdr:colOff>476250</xdr:colOff>
      <xdr:row>7</xdr:row>
      <xdr:rowOff>161925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E44DAB-CD65-F928-00D5-8B611026C6BE}"/>
            </a:ext>
            <a:ext uri="{147F2762-F138-4A5C-976F-8EAC2B608ADB}">
              <a16:predDERef xmlns:a16="http://schemas.microsoft.com/office/drawing/2014/main" pred="{A5973D78-905B-48A0-8076-0842B1885FDE}"/>
            </a:ext>
          </a:extLst>
        </xdr:cNvPr>
        <xdr:cNvSpPr txBox="1"/>
      </xdr:nvSpPr>
      <xdr:spPr>
        <a:xfrm>
          <a:off x="11553825" y="1076325"/>
          <a:ext cx="2247900" cy="419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After an early decline, prices stabilized with a steady recovery through March–May.</a:t>
          </a:r>
        </a:p>
      </xdr:txBody>
    </xdr:sp>
    <xdr:clientData/>
  </xdr:twoCellAnchor>
  <xdr:twoCellAnchor>
    <xdr:from>
      <xdr:col>14</xdr:col>
      <xdr:colOff>104775</xdr:colOff>
      <xdr:row>24</xdr:row>
      <xdr:rowOff>0</xdr:rowOff>
    </xdr:from>
    <xdr:to>
      <xdr:col>17</xdr:col>
      <xdr:colOff>323850</xdr:colOff>
      <xdr:row>25</xdr:row>
      <xdr:rowOff>180975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7C97A0-601B-9E0E-CAD2-60F038F94E59}"/>
            </a:ext>
            <a:ext uri="{147F2762-F138-4A5C-976F-8EAC2B608ADB}">
              <a16:predDERef xmlns:a16="http://schemas.microsoft.com/office/drawing/2014/main" pred="{C0E44DAB-CD65-F928-00D5-8B611026C6BE}"/>
            </a:ext>
          </a:extLst>
        </xdr:cNvPr>
        <xdr:cNvSpPr txBox="1"/>
      </xdr:nvSpPr>
      <xdr:spPr>
        <a:xfrm>
          <a:off x="10991850" y="4572000"/>
          <a:ext cx="2047875" cy="3714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Initial sharp drop followed by moderate daily fluctuations around zero.</a:t>
          </a:r>
        </a:p>
      </xdr:txBody>
    </xdr:sp>
    <xdr:clientData/>
  </xdr:twoCellAnchor>
  <xdr:twoCellAnchor>
    <xdr:from>
      <xdr:col>14</xdr:col>
      <xdr:colOff>114300</xdr:colOff>
      <xdr:row>33</xdr:row>
      <xdr:rowOff>104775</xdr:rowOff>
    </xdr:from>
    <xdr:to>
      <xdr:col>17</xdr:col>
      <xdr:colOff>447675</xdr:colOff>
      <xdr:row>36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DF0B151-A675-479F-DB00-93E7C42B240C}"/>
            </a:ext>
            <a:ext uri="{147F2762-F138-4A5C-976F-8EAC2B608ADB}">
              <a16:predDERef xmlns:a16="http://schemas.microsoft.com/office/drawing/2014/main" pred="{C57C97A0-601B-9E0E-CAD2-60F038F94E59}"/>
            </a:ext>
          </a:extLst>
        </xdr:cNvPr>
        <xdr:cNvSpPr txBox="1"/>
      </xdr:nvSpPr>
      <xdr:spPr>
        <a:xfrm>
          <a:off x="11001375" y="6391275"/>
          <a:ext cx="2162175" cy="4667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Volatility eased after early February peak, stabilizing for the rest of the period.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9</xdr:row>
      <xdr:rowOff>66675</xdr:rowOff>
    </xdr:from>
    <xdr:to>
      <xdr:col>11</xdr:col>
      <xdr:colOff>485775</xdr:colOff>
      <xdr:row>11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5492DE-9145-51E4-6D32-32937559ADBD}"/>
            </a:ext>
          </a:extLst>
        </xdr:cNvPr>
        <xdr:cNvSpPr txBox="1"/>
      </xdr:nvSpPr>
      <xdr:spPr>
        <a:xfrm>
          <a:off x="6772275" y="1781175"/>
          <a:ext cx="1933575" cy="400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Stock Price Correlation Matrix (Feb–May 2023)</a:t>
          </a:r>
        </a:p>
      </xdr:txBody>
    </xdr:sp>
    <xdr:clientData/>
  </xdr:twoCellAnchor>
  <xdr:twoCellAnchor>
    <xdr:from>
      <xdr:col>10</xdr:col>
      <xdr:colOff>123825</xdr:colOff>
      <xdr:row>6</xdr:row>
      <xdr:rowOff>19050</xdr:rowOff>
    </xdr:from>
    <xdr:to>
      <xdr:col>13</xdr:col>
      <xdr:colOff>247650</xdr:colOff>
      <xdr:row>9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0B4E32-38B9-3F65-FA2D-02F0B7804410}"/>
            </a:ext>
            <a:ext uri="{147F2762-F138-4A5C-976F-8EAC2B608ADB}">
              <a16:predDERef xmlns:a16="http://schemas.microsoft.com/office/drawing/2014/main" pred="{1C5492DE-9145-51E4-6D32-32937559ADBD}"/>
            </a:ext>
          </a:extLst>
        </xdr:cNvPr>
        <xdr:cNvSpPr txBox="1"/>
      </xdr:nvSpPr>
      <xdr:spPr>
        <a:xfrm>
          <a:off x="8410575" y="1352550"/>
          <a:ext cx="2447925" cy="6191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i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Strong correlation between Apple and Microsoft (r ≈ 0.95) highlights similar price trends.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9</xdr:row>
      <xdr:rowOff>85725</xdr:rowOff>
    </xdr:from>
    <xdr:to>
      <xdr:col>25</xdr:col>
      <xdr:colOff>542925</xdr:colOff>
      <xdr:row>11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6EA7DD-85E3-5C18-A07D-09663A258121}"/>
            </a:ext>
            <a:ext uri="{147F2762-F138-4A5C-976F-8EAC2B608ADB}">
              <a16:predDERef xmlns:a16="http://schemas.microsoft.com/office/drawing/2014/main" pred="{B4CE002E-FE22-43DD-53FD-64536FC13277}"/>
            </a:ext>
          </a:extLst>
        </xdr:cNvPr>
        <xdr:cNvSpPr txBox="1"/>
      </xdr:nvSpPr>
      <xdr:spPr>
        <a:xfrm>
          <a:off x="16497300" y="1800225"/>
          <a:ext cx="2409825" cy="3714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rgbClr val="7F7F7F"/>
              </a:solidFill>
              <a:latin typeface="+mn-lt"/>
              <a:ea typeface="+mn-lt"/>
              <a:cs typeface="+mn-lt"/>
            </a:rPr>
            <a:t>Netflix shows highest price growth over the 3-month period, while Apple remains most stable.</a:t>
          </a:r>
        </a:p>
      </xdr:txBody>
    </xdr:sp>
    <xdr:clientData/>
  </xdr:twoCellAnchor>
  <xdr:twoCellAnchor>
    <xdr:from>
      <xdr:col>30</xdr:col>
      <xdr:colOff>600075</xdr:colOff>
      <xdr:row>3</xdr:row>
      <xdr:rowOff>19050</xdr:rowOff>
    </xdr:from>
    <xdr:to>
      <xdr:col>33</xdr:col>
      <xdr:colOff>466725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57A4CF-FEAD-78C9-E9BD-2165ADBC89A3}"/>
            </a:ext>
            <a:ext uri="{147F2762-F138-4A5C-976F-8EAC2B608ADB}">
              <a16:predDERef xmlns:a16="http://schemas.microsoft.com/office/drawing/2014/main" pred="{1DE21C9D-2898-1330-F86C-4F9DF13E4532}"/>
            </a:ext>
          </a:extLst>
        </xdr:cNvPr>
        <xdr:cNvSpPr txBox="1"/>
      </xdr:nvSpPr>
      <xdr:spPr>
        <a:xfrm>
          <a:off x="23802975" y="590550"/>
          <a:ext cx="1695450" cy="361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rgbClr val="7F7F7F"/>
              </a:solidFill>
              <a:latin typeface="Segoe UI" panose="020B0502040204020203" pitchFamily="34" charset="0"/>
              <a:cs typeface="Segoe UI" panose="020B0502040204020203" pitchFamily="34" charset="0"/>
            </a:rPr>
            <a:t>Netflix’s returns are most volatile; Apple stays steady.</a:t>
          </a:r>
        </a:p>
      </xdr:txBody>
    </xdr:sp>
    <xdr:clientData/>
  </xdr:twoCellAnchor>
  <xdr:twoCellAnchor>
    <xdr:from>
      <xdr:col>22</xdr:col>
      <xdr:colOff>266700</xdr:colOff>
      <xdr:row>21</xdr:row>
      <xdr:rowOff>38100</xdr:rowOff>
    </xdr:from>
    <xdr:to>
      <xdr:col>26</xdr:col>
      <xdr:colOff>9525</xdr:colOff>
      <xdr:row>22</xdr:row>
      <xdr:rowOff>123825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2050AB-BAF0-76F6-9186-E0342B76F5B9}"/>
            </a:ext>
            <a:ext uri="{147F2762-F138-4A5C-976F-8EAC2B608ADB}">
              <a16:predDERef xmlns:a16="http://schemas.microsoft.com/office/drawing/2014/main" pred="{62A15EFA-60D4-9301-4A0C-BA1ADE056240}"/>
            </a:ext>
          </a:extLst>
        </xdr:cNvPr>
        <xdr:cNvSpPr txBox="1"/>
      </xdr:nvSpPr>
      <xdr:spPr>
        <a:xfrm>
          <a:off x="17716500" y="4038600"/>
          <a:ext cx="2181225" cy="2762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rgbClr val="7F7F7F"/>
              </a:solidFill>
              <a:latin typeface="+mn-lt"/>
              <a:ea typeface="+mn-lt"/>
              <a:cs typeface="+mn-lt"/>
            </a:rPr>
            <a:t>Microsoft rises steadily; Google stays flat.</a:t>
          </a:r>
        </a:p>
      </xdr:txBody>
    </xdr:sp>
    <xdr:clientData/>
  </xdr:twoCellAnchor>
  <xdr:twoCellAnchor>
    <xdr:from>
      <xdr:col>27</xdr:col>
      <xdr:colOff>57150</xdr:colOff>
      <xdr:row>17</xdr:row>
      <xdr:rowOff>104775</xdr:rowOff>
    </xdr:from>
    <xdr:to>
      <xdr:col>31</xdr:col>
      <xdr:colOff>228600</xdr:colOff>
      <xdr:row>19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051D15-E238-1CD0-E028-3580B614EB57}"/>
            </a:ext>
            <a:ext uri="{147F2762-F138-4A5C-976F-8EAC2B608ADB}">
              <a16:predDERef xmlns:a16="http://schemas.microsoft.com/office/drawing/2014/main" pred="{532050AB-BAF0-76F6-9186-E0342B76F5B9}"/>
            </a:ext>
          </a:extLst>
        </xdr:cNvPr>
        <xdr:cNvSpPr txBox="1"/>
      </xdr:nvSpPr>
      <xdr:spPr>
        <a:xfrm>
          <a:off x="20554950" y="3343275"/>
          <a:ext cx="2609850" cy="3714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i="1">
              <a:solidFill>
                <a:srgbClr val="7F7F7F"/>
              </a:solidFill>
              <a:latin typeface="+mn-lt"/>
              <a:ea typeface="+mn-lt"/>
              <a:cs typeface="+mn-lt"/>
            </a:rPr>
            <a:t>Volatility spikes for Microsoft and Google in late April, suggesting market uncertainty.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0</xdr:row>
      <xdr:rowOff>276225</xdr:rowOff>
    </xdr:from>
    <xdr:to>
      <xdr:col>12</xdr:col>
      <xdr:colOff>19050</xdr:colOff>
      <xdr:row>0</xdr:row>
      <xdr:rowOff>276225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DFE0828-7D74-10C3-0237-7319E03786ED}"/>
            </a:ext>
          </a:extLst>
        </xdr:cNvPr>
        <xdr:cNvCxnSpPr>
          <a:cxnSpLocks/>
        </xdr:cNvCxnSpPr>
      </xdr:nvCxnSpPr>
      <xdr:spPr>
        <a:xfrm flipV="1">
          <a:off x="2952750" y="276225"/>
          <a:ext cx="4381500" cy="0"/>
        </a:xfrm>
        <a:prstGeom prst="line">
          <a:avLst/>
        </a:prstGeom>
        <a:ln w="12700">
          <a:solidFill>
            <a:schemeClr val="accent1">
              <a:lumMod val="60000"/>
              <a:lumOff val="40000"/>
              <a:alpha val="82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3</xdr:row>
      <xdr:rowOff>19050</xdr:rowOff>
    </xdr:from>
    <xdr:to>
      <xdr:col>0</xdr:col>
      <xdr:colOff>409575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E910A1-20B2-0EF0-3F94-25BA0FBF8FC9}"/>
            </a:ext>
            <a:ext uri="{147F2762-F138-4A5C-976F-8EAC2B608ADB}">
              <a16:predDERef xmlns:a16="http://schemas.microsoft.com/office/drawing/2014/main" pred="{EDFE0828-7D74-10C3-0237-7319E03786ED}"/>
            </a:ext>
          </a:extLst>
        </xdr:cNvPr>
        <xdr:cNvSpPr/>
      </xdr:nvSpPr>
      <xdr:spPr>
        <a:xfrm>
          <a:off x="276225" y="533400"/>
          <a:ext cx="133350" cy="13335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171450</xdr:colOff>
      <xdr:row>3</xdr:row>
      <xdr:rowOff>19050</xdr:rowOff>
    </xdr:from>
    <xdr:to>
      <xdr:col>2</xdr:col>
      <xdr:colOff>304800</xdr:colOff>
      <xdr:row>3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3DAE96-2029-4941-97AC-C30336D70CF9}"/>
            </a:ext>
            <a:ext uri="{147F2762-F138-4A5C-976F-8EAC2B608ADB}">
              <a16:predDERef xmlns:a16="http://schemas.microsoft.com/office/drawing/2014/main" pred="{C4E910A1-20B2-0EF0-3F94-25BA0FBF8FC9}"/>
            </a:ext>
          </a:extLst>
        </xdr:cNvPr>
        <xdr:cNvSpPr/>
      </xdr:nvSpPr>
      <xdr:spPr>
        <a:xfrm>
          <a:off x="1409700" y="533400"/>
          <a:ext cx="133350" cy="133350"/>
        </a:xfrm>
        <a:prstGeom prst="rect">
          <a:avLst/>
        </a:prstGeom>
        <a:solidFill>
          <a:srgbClr val="8AE03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266700</xdr:colOff>
      <xdr:row>3</xdr:row>
      <xdr:rowOff>28575</xdr:rowOff>
    </xdr:from>
    <xdr:to>
      <xdr:col>4</xdr:col>
      <xdr:colOff>400050</xdr:colOff>
      <xdr:row>3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064FF0-D0A4-4405-BDFD-FB6AF7808F26}"/>
            </a:ext>
            <a:ext uri="{147F2762-F138-4A5C-976F-8EAC2B608ADB}">
              <a16:predDERef xmlns:a16="http://schemas.microsoft.com/office/drawing/2014/main" pred="{543DAE96-2029-4941-97AC-C30336D70CF9}"/>
            </a:ext>
          </a:extLst>
        </xdr:cNvPr>
        <xdr:cNvSpPr/>
      </xdr:nvSpPr>
      <xdr:spPr>
        <a:xfrm>
          <a:off x="2724150" y="542925"/>
          <a:ext cx="133350" cy="133350"/>
        </a:xfrm>
        <a:prstGeom prst="rect">
          <a:avLst/>
        </a:prstGeom>
        <a:solidFill>
          <a:srgbClr val="FF0000">
            <a:alpha val="7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238125</xdr:colOff>
      <xdr:row>3</xdr:row>
      <xdr:rowOff>28575</xdr:rowOff>
    </xdr:from>
    <xdr:to>
      <xdr:col>6</xdr:col>
      <xdr:colOff>371475</xdr:colOff>
      <xdr:row>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DB761B1-B184-4B64-A876-3BB76AD3D00F}"/>
            </a:ext>
            <a:ext uri="{147F2762-F138-4A5C-976F-8EAC2B608ADB}">
              <a16:predDERef xmlns:a16="http://schemas.microsoft.com/office/drawing/2014/main" pred="{E7064FF0-D0A4-4405-BDFD-FB6AF7808F26}"/>
            </a:ext>
          </a:extLst>
        </xdr:cNvPr>
        <xdr:cNvSpPr/>
      </xdr:nvSpPr>
      <xdr:spPr>
        <a:xfrm>
          <a:off x="3914775" y="542925"/>
          <a:ext cx="133350" cy="133350"/>
        </a:xfrm>
        <a:prstGeom prst="rect">
          <a:avLst/>
        </a:prstGeom>
        <a:solidFill>
          <a:srgbClr val="F6FF00">
            <a:alpha val="83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180975</xdr:colOff>
      <xdr:row>19</xdr:row>
      <xdr:rowOff>142875</xdr:rowOff>
    </xdr:from>
    <xdr:to>
      <xdr:col>7</xdr:col>
      <xdr:colOff>466725</xdr:colOff>
      <xdr:row>33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9A12AB-4349-C1E5-467F-820AC9EF8D9E}"/>
            </a:ext>
            <a:ext uri="{147F2762-F138-4A5C-976F-8EAC2B608ADB}">
              <a16:predDERef xmlns:a16="http://schemas.microsoft.com/office/drawing/2014/main" pred="{9DB761B1-B184-4B64-A876-3BB76AD3D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4</xdr:row>
      <xdr:rowOff>142875</xdr:rowOff>
    </xdr:from>
    <xdr:to>
      <xdr:col>7</xdr:col>
      <xdr:colOff>485775</xdr:colOff>
      <xdr:row>18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CE002E-FE22-43DD-53FD-64536FC13277}"/>
            </a:ext>
            <a:ext uri="{147F2762-F138-4A5C-976F-8EAC2B608ADB}">
              <a16:predDERef xmlns:a16="http://schemas.microsoft.com/office/drawing/2014/main" pred="{939A12AB-4349-C1E5-467F-820AC9EF8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523875</xdr:colOff>
      <xdr:row>12</xdr:row>
      <xdr:rowOff>85725</xdr:rowOff>
    </xdr:from>
    <xdr:to>
      <xdr:col>7</xdr:col>
      <xdr:colOff>495300</xdr:colOff>
      <xdr:row>14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641E0B-E573-4DB7-B09C-DAA3C73D82FF}"/>
            </a:ext>
            <a:ext uri="{147F2762-F138-4A5C-976F-8EAC2B608ADB}">
              <a16:predDERef xmlns:a16="http://schemas.microsoft.com/office/drawing/2014/main" pred="{B4CE002E-FE22-43DD-53FD-64536FC13277}"/>
            </a:ext>
          </a:extLst>
        </xdr:cNvPr>
        <xdr:cNvSpPr txBox="1"/>
      </xdr:nvSpPr>
      <xdr:spPr>
        <a:xfrm>
          <a:off x="2371725" y="2314575"/>
          <a:ext cx="2409825" cy="371475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900" b="0" i="1">
              <a:solidFill>
                <a:srgbClr val="7F7F7F"/>
              </a:solidFill>
              <a:latin typeface="+mn-lt"/>
              <a:ea typeface="+mn-lt"/>
              <a:cs typeface="+mn-lt"/>
            </a:rPr>
            <a:t>Netflix shows highest price growth over the 3-month period, while Apple remains most stable.</a:t>
          </a:r>
        </a:p>
      </xdr:txBody>
    </xdr:sp>
    <xdr:clientData/>
  </xdr:twoCellAnchor>
  <xdr:twoCellAnchor>
    <xdr:from>
      <xdr:col>8</xdr:col>
      <xdr:colOff>133350</xdr:colOff>
      <xdr:row>4</xdr:row>
      <xdr:rowOff>133350</xdr:rowOff>
    </xdr:from>
    <xdr:to>
      <xdr:col>15</xdr:col>
      <xdr:colOff>323850</xdr:colOff>
      <xdr:row>18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A15EFA-60D4-9301-4A0C-BA1ADE056240}"/>
            </a:ext>
            <a:ext uri="{147F2762-F138-4A5C-976F-8EAC2B608ADB}">
              <a16:predDERef xmlns:a16="http://schemas.microsoft.com/office/drawing/2014/main" pred="{E1641E0B-E573-4DB7-B09C-DAA3C73D8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</xdr:colOff>
      <xdr:row>9</xdr:row>
      <xdr:rowOff>133350</xdr:rowOff>
    </xdr:from>
    <xdr:to>
      <xdr:col>15</xdr:col>
      <xdr:colOff>400050</xdr:colOff>
      <xdr:row>11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1FF842-4C89-49B5-B4EF-EEA127AFE052}"/>
            </a:ext>
            <a:ext uri="{147F2762-F138-4A5C-976F-8EAC2B608ADB}">
              <a16:predDERef xmlns:a16="http://schemas.microsoft.com/office/drawing/2014/main" pred="{62A15EFA-60D4-9301-4A0C-BA1ADE056240}"/>
            </a:ext>
          </a:extLst>
        </xdr:cNvPr>
        <xdr:cNvSpPr txBox="1"/>
      </xdr:nvSpPr>
      <xdr:spPr>
        <a:xfrm>
          <a:off x="7381875" y="1790700"/>
          <a:ext cx="2181225" cy="276225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900" i="1">
              <a:solidFill>
                <a:srgbClr val="7F7F7F"/>
              </a:solidFill>
              <a:latin typeface="+mn-lt"/>
              <a:ea typeface="+mn-lt"/>
              <a:cs typeface="+mn-lt"/>
            </a:rPr>
            <a:t>Microsoft rises steadily; Google stays flat.</a:t>
          </a:r>
        </a:p>
      </xdr:txBody>
    </xdr:sp>
    <xdr:clientData/>
  </xdr:twoCellAnchor>
  <xdr:twoCellAnchor>
    <xdr:from>
      <xdr:col>8</xdr:col>
      <xdr:colOff>133350</xdr:colOff>
      <xdr:row>19</xdr:row>
      <xdr:rowOff>161925</xdr:rowOff>
    </xdr:from>
    <xdr:to>
      <xdr:col>15</xdr:col>
      <xdr:colOff>333375</xdr:colOff>
      <xdr:row>33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DE21C9D-2898-1330-F86C-4F9DF13E4532}"/>
            </a:ext>
            <a:ext uri="{147F2762-F138-4A5C-976F-8EAC2B608ADB}">
              <a16:predDERef xmlns:a16="http://schemas.microsoft.com/office/drawing/2014/main" pred="{921FF842-4C89-49B5-B4EF-EEA127AFE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161925</xdr:colOff>
      <xdr:row>21</xdr:row>
      <xdr:rowOff>28575</xdr:rowOff>
    </xdr:from>
    <xdr:to>
      <xdr:col>15</xdr:col>
      <xdr:colOff>28575</xdr:colOff>
      <xdr:row>23</xdr:row>
      <xdr:rowOff>9525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B32A38-E546-45C3-8C02-ABB398751409}"/>
            </a:ext>
            <a:ext uri="{147F2762-F138-4A5C-976F-8EAC2B608ADB}">
              <a16:predDERef xmlns:a16="http://schemas.microsoft.com/office/drawing/2014/main" pred="{1DE21C9D-2898-1330-F86C-4F9DF13E4532}"/>
            </a:ext>
          </a:extLst>
        </xdr:cNvPr>
        <xdr:cNvSpPr txBox="1"/>
      </xdr:nvSpPr>
      <xdr:spPr>
        <a:xfrm>
          <a:off x="7496175" y="3971925"/>
          <a:ext cx="1695450" cy="3619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900" b="0" i="1">
              <a:solidFill>
                <a:srgbClr val="7F7F7F"/>
              </a:solidFill>
              <a:latin typeface="Segoe UI" panose="020B0502040204020203" pitchFamily="34" charset="0"/>
              <a:cs typeface="Segoe UI" panose="020B0502040204020203" pitchFamily="34" charset="0"/>
            </a:rPr>
            <a:t>Netflix’s returns are most volatile; Apple stays steady.</a:t>
          </a:r>
        </a:p>
      </xdr:txBody>
    </xdr:sp>
    <xdr:clientData/>
  </xdr:twoCellAnchor>
  <xdr:twoCellAnchor>
    <xdr:from>
      <xdr:col>0</xdr:col>
      <xdr:colOff>190500</xdr:colOff>
      <xdr:row>34</xdr:row>
      <xdr:rowOff>180975</xdr:rowOff>
    </xdr:from>
    <xdr:to>
      <xdr:col>7</xdr:col>
      <xdr:colOff>457200</xdr:colOff>
      <xdr:row>49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909960-3E83-2BF1-3AB6-D953525104CD}"/>
            </a:ext>
            <a:ext uri="{147F2762-F138-4A5C-976F-8EAC2B608ADB}">
              <a16:predDERef xmlns:a16="http://schemas.microsoft.com/office/drawing/2014/main" pred="{3AB32A38-E546-45C3-8C02-ABB398751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</xdr:colOff>
      <xdr:row>36</xdr:row>
      <xdr:rowOff>47625</xdr:rowOff>
    </xdr:from>
    <xdr:to>
      <xdr:col>5</xdr:col>
      <xdr:colOff>219075</xdr:colOff>
      <xdr:row>38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6F0FA2-6C6C-466F-A564-8D309AA63F1E}"/>
            </a:ext>
            <a:ext uri="{147F2762-F138-4A5C-976F-8EAC2B608ADB}">
              <a16:predDERef xmlns:a16="http://schemas.microsoft.com/office/drawing/2014/main" pred="{0F909960-3E83-2BF1-3AB6-D953525104CD}"/>
            </a:ext>
          </a:extLst>
        </xdr:cNvPr>
        <xdr:cNvSpPr txBox="1"/>
      </xdr:nvSpPr>
      <xdr:spPr>
        <a:xfrm>
          <a:off x="676275" y="6848475"/>
          <a:ext cx="2609850" cy="371475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900" i="1">
              <a:solidFill>
                <a:srgbClr val="7F7F7F"/>
              </a:solidFill>
              <a:latin typeface="+mn-lt"/>
              <a:ea typeface="+mn-lt"/>
              <a:cs typeface="+mn-lt"/>
            </a:rPr>
            <a:t>Volatility spikes for Microsoft and Google in late April, suggesting market uncertainty.</a:t>
          </a:r>
        </a:p>
      </xdr:txBody>
    </xdr:sp>
    <xdr:clientData/>
  </xdr:twoCellAnchor>
  <xdr:twoCellAnchor>
    <xdr:from>
      <xdr:col>9</xdr:col>
      <xdr:colOff>47625</xdr:colOff>
      <xdr:row>34</xdr:row>
      <xdr:rowOff>142875</xdr:rowOff>
    </xdr:from>
    <xdr:to>
      <xdr:col>13</xdr:col>
      <xdr:colOff>466725</xdr:colOff>
      <xdr:row>36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45E5122-44F8-47AC-B455-1E9ABC783230}"/>
            </a:ext>
            <a:ext uri="{147F2762-F138-4A5C-976F-8EAC2B608ADB}">
              <a16:predDERef xmlns:a16="http://schemas.microsoft.com/office/drawing/2014/main" pred="{1C6F0FA2-6C6C-466F-A564-8D309AA63F1E}"/>
            </a:ext>
          </a:extLst>
        </xdr:cNvPr>
        <xdr:cNvSpPr txBox="1"/>
      </xdr:nvSpPr>
      <xdr:spPr>
        <a:xfrm>
          <a:off x="5553075" y="6562725"/>
          <a:ext cx="2857500" cy="2476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Stock Price Correlation Matrix (Feb–May 2023)</a:t>
          </a:r>
        </a:p>
      </xdr:txBody>
    </xdr:sp>
    <xdr:clientData/>
  </xdr:twoCellAnchor>
  <xdr:twoCellAnchor>
    <xdr:from>
      <xdr:col>8</xdr:col>
      <xdr:colOff>209550</xdr:colOff>
      <xdr:row>44</xdr:row>
      <xdr:rowOff>57150</xdr:rowOff>
    </xdr:from>
    <xdr:to>
      <xdr:col>14</xdr:col>
      <xdr:colOff>76200</xdr:colOff>
      <xdr:row>49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E331C44-6961-D35B-7A8B-3D76073A94BB}"/>
            </a:ext>
            <a:ext uri="{147F2762-F138-4A5C-976F-8EAC2B608ADB}">
              <a16:predDERef xmlns:a16="http://schemas.microsoft.com/office/drawing/2014/main" pred="{345E5122-44F8-47AC-B455-1E9ABC783230}"/>
            </a:ext>
          </a:extLst>
        </xdr:cNvPr>
        <xdr:cNvSpPr txBox="1"/>
      </xdr:nvSpPr>
      <xdr:spPr>
        <a:xfrm>
          <a:off x="5105400" y="8382000"/>
          <a:ext cx="3524250" cy="1066800"/>
        </a:xfrm>
        <a:prstGeom prst="rect">
          <a:avLst/>
        </a:prstGeom>
        <a:solidFill>
          <a:schemeClr val="lt1"/>
        </a:solidFill>
        <a:ln w="9525" cmpd="sng">
          <a:solidFill>
            <a:srgbClr val="E3E1E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1" u="none" strike="noStrike">
              <a:solidFill>
                <a:srgbClr val="444444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</a:t>
          </a:r>
          <a:r>
            <a:rPr lang="en-US" sz="1200" b="1" i="1">
              <a:solidFill>
                <a:srgbClr val="444444"/>
              </a:solidFill>
              <a:latin typeface="+mn-lt"/>
              <a:ea typeface="+mn-lt"/>
              <a:cs typeface="+mn-lt"/>
            </a:rPr>
            <a:t>Insight Summary:</a:t>
          </a:r>
          <a:r>
            <a:rPr lang="en-US" sz="1200">
              <a:solidFill>
                <a:srgbClr val="444444"/>
              </a:solidFill>
              <a:latin typeface="+mn-lt"/>
              <a:ea typeface="+mn-lt"/>
              <a:cs typeface="+mn-lt"/>
            </a:rPr>
            <a:t> </a:t>
          </a:r>
          <a:r>
            <a:rPr lang="en-US" sz="1200" i="1">
              <a:solidFill>
                <a:srgbClr val="444444"/>
              </a:solidFill>
              <a:latin typeface="+mn-lt"/>
              <a:ea typeface="+mn-lt"/>
              <a:cs typeface="+mn-lt"/>
            </a:rPr>
            <a:t>Apple and Microsoft exhibit strong correlation, indicating similar market trends. Netflix remains more volatile and less correlated, while Google shows moderate alignment with both Apple and Microsoft.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"/>
  <sheetViews>
    <sheetView workbookViewId="0">
      <selection activeCell="A188" sqref="A188:K249"/>
    </sheetView>
  </sheetViews>
  <sheetFormatPr defaultColWidth="16.28515625" defaultRowHeight="15"/>
  <cols>
    <col min="1" max="8" width="11.5703125" customWidth="1"/>
    <col min="10" max="10" width="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1">
        <v>44964</v>
      </c>
      <c r="C2">
        <v>150.63999938964801</v>
      </c>
      <c r="D2">
        <v>155.22999572753901</v>
      </c>
      <c r="E2">
        <v>150.63999938964801</v>
      </c>
      <c r="F2">
        <v>154.64999389648401</v>
      </c>
      <c r="G2">
        <v>154.41423034667901</v>
      </c>
      <c r="H2">
        <v>83322600</v>
      </c>
    </row>
    <row r="3" spans="1:11">
      <c r="A3" t="s">
        <v>11</v>
      </c>
      <c r="B3" s="1">
        <v>44965</v>
      </c>
      <c r="C3">
        <v>153.88000488281199</v>
      </c>
      <c r="D3">
        <v>154.58000183105401</v>
      </c>
      <c r="E3">
        <v>151.169998168945</v>
      </c>
      <c r="F3">
        <v>151.919998168945</v>
      </c>
      <c r="G3">
        <v>151.68840026855401</v>
      </c>
      <c r="H3">
        <v>64120100</v>
      </c>
      <c r="I3" s="3">
        <f>(G3/G2)-1</f>
        <v>-1.7652712913862723E-2</v>
      </c>
    </row>
    <row r="4" spans="1:11">
      <c r="A4" t="s">
        <v>11</v>
      </c>
      <c r="B4" s="1">
        <v>44966</v>
      </c>
      <c r="C4">
        <v>153.77999877929599</v>
      </c>
      <c r="D4">
        <v>154.33000183105401</v>
      </c>
      <c r="E4">
        <v>150.419998168945</v>
      </c>
      <c r="F4">
        <v>150.86999511718699</v>
      </c>
      <c r="G4">
        <v>150.63999938964801</v>
      </c>
      <c r="H4">
        <v>56007100</v>
      </c>
      <c r="I4" s="3">
        <f t="shared" ref="I4:I67" si="0">(G4/G3)-1</f>
        <v>-6.9115428539682222E-3</v>
      </c>
    </row>
    <row r="5" spans="1:11">
      <c r="A5" t="s">
        <v>11</v>
      </c>
      <c r="B5" s="1">
        <v>44967</v>
      </c>
      <c r="C5">
        <v>149.46000671386699</v>
      </c>
      <c r="D5">
        <v>151.33999633789</v>
      </c>
      <c r="E5">
        <v>149.22000122070301</v>
      </c>
      <c r="F5">
        <v>151.009994506835</v>
      </c>
      <c r="G5">
        <v>151.009994506835</v>
      </c>
      <c r="H5">
        <v>57450700</v>
      </c>
      <c r="I5" s="3">
        <f t="shared" si="0"/>
        <v>2.4561545319046196E-3</v>
      </c>
    </row>
    <row r="6" spans="1:11">
      <c r="A6" t="s">
        <v>11</v>
      </c>
      <c r="B6" s="1">
        <v>44970</v>
      </c>
      <c r="C6">
        <v>150.94999694824199</v>
      </c>
      <c r="D6">
        <v>154.259994506835</v>
      </c>
      <c r="E6">
        <v>150.919998168945</v>
      </c>
      <c r="F6">
        <v>153.850006103515</v>
      </c>
      <c r="G6">
        <v>153.850006103515</v>
      </c>
      <c r="H6">
        <v>62199000</v>
      </c>
      <c r="I6" s="3">
        <f t="shared" si="0"/>
        <v>1.8806779021182329E-2</v>
      </c>
    </row>
    <row r="7" spans="1:11">
      <c r="A7" t="s">
        <v>11</v>
      </c>
      <c r="B7" s="1">
        <v>44971</v>
      </c>
      <c r="C7">
        <v>152.11999511718699</v>
      </c>
      <c r="D7">
        <v>153.77000427246</v>
      </c>
      <c r="E7">
        <v>150.86000061035099</v>
      </c>
      <c r="F7">
        <v>153.19999694824199</v>
      </c>
      <c r="G7">
        <v>153.19999694824199</v>
      </c>
      <c r="H7">
        <v>61707600</v>
      </c>
      <c r="I7" s="3">
        <f t="shared" si="0"/>
        <v>-4.224953717815727E-3</v>
      </c>
    </row>
    <row r="8" spans="1:11">
      <c r="A8" t="s">
        <v>11</v>
      </c>
      <c r="B8" s="1">
        <v>44972</v>
      </c>
      <c r="C8">
        <v>153.11000061035099</v>
      </c>
      <c r="D8">
        <v>155.5</v>
      </c>
      <c r="E8">
        <v>152.88000488281199</v>
      </c>
      <c r="F8">
        <v>155.33000183105401</v>
      </c>
      <c r="G8">
        <v>155.33000183105401</v>
      </c>
      <c r="H8">
        <v>65573800</v>
      </c>
      <c r="I8" s="3">
        <f t="shared" si="0"/>
        <v>1.3903426404973329E-2</v>
      </c>
      <c r="J8">
        <f ca="1">AVERAGE(OFFSET(G8,-6,0,7,1))</f>
        <v>152.87608991350385</v>
      </c>
      <c r="K8">
        <f ca="1">STDEV(OFFSET(I8,-6,0,7,1))</f>
        <v>1.3590384996527764E-2</v>
      </c>
    </row>
    <row r="9" spans="1:11">
      <c r="A9" t="s">
        <v>11</v>
      </c>
      <c r="B9" s="1">
        <v>44973</v>
      </c>
      <c r="C9">
        <v>153.509994506835</v>
      </c>
      <c r="D9">
        <v>156.33000183105401</v>
      </c>
      <c r="E9">
        <v>153.350006103515</v>
      </c>
      <c r="F9">
        <v>153.71000671386699</v>
      </c>
      <c r="G9">
        <v>153.71000671386699</v>
      </c>
      <c r="H9">
        <v>68167900</v>
      </c>
      <c r="I9" s="3">
        <f t="shared" si="0"/>
        <v>-1.042937679836653E-2</v>
      </c>
      <c r="J9">
        <f t="shared" ref="J9:J72" ca="1" si="1">AVERAGE(OFFSET(G9,-6,0,7,1))</f>
        <v>152.77548653738785</v>
      </c>
      <c r="K9">
        <f t="shared" ref="K9:K72" ca="1" si="2">STDEV(OFFSET(I9,-6,0,7,1))</f>
        <v>1.3144688021055066E-2</v>
      </c>
    </row>
    <row r="10" spans="1:11">
      <c r="A10" t="s">
        <v>11</v>
      </c>
      <c r="B10" s="1">
        <v>44974</v>
      </c>
      <c r="C10">
        <v>152.350006103515</v>
      </c>
      <c r="D10">
        <v>153</v>
      </c>
      <c r="E10">
        <v>150.850006103515</v>
      </c>
      <c r="F10">
        <v>152.55000305175699</v>
      </c>
      <c r="G10">
        <v>152.55000305175699</v>
      </c>
      <c r="H10">
        <v>59144100</v>
      </c>
      <c r="I10" s="3">
        <f t="shared" si="0"/>
        <v>-7.5467023059165861E-3</v>
      </c>
      <c r="J10">
        <f t="shared" ca="1" si="1"/>
        <v>152.898572649274</v>
      </c>
      <c r="K10">
        <f t="shared" ca="1" si="2"/>
        <v>1.1395479371605063E-2</v>
      </c>
    </row>
    <row r="11" spans="1:11">
      <c r="A11" t="s">
        <v>11</v>
      </c>
      <c r="B11" s="1">
        <v>44978</v>
      </c>
      <c r="C11">
        <v>150.19999694824199</v>
      </c>
      <c r="D11">
        <v>151.30000305175699</v>
      </c>
      <c r="E11">
        <v>148.41000366210901</v>
      </c>
      <c r="F11">
        <v>148.47999572753901</v>
      </c>
      <c r="G11">
        <v>148.47999572753901</v>
      </c>
      <c r="H11">
        <v>58867200</v>
      </c>
      <c r="I11" s="3">
        <f t="shared" si="0"/>
        <v>-2.667982460044338E-2</v>
      </c>
      <c r="J11">
        <f t="shared" ca="1" si="1"/>
        <v>152.59000069754413</v>
      </c>
      <c r="K11">
        <f t="shared" ca="1" si="2"/>
        <v>1.5392374488541652E-2</v>
      </c>
    </row>
    <row r="12" spans="1:11">
      <c r="A12" t="s">
        <v>11</v>
      </c>
      <c r="B12" s="1">
        <v>44979</v>
      </c>
      <c r="C12">
        <v>148.86999511718699</v>
      </c>
      <c r="D12">
        <v>149.94999694824199</v>
      </c>
      <c r="E12">
        <v>147.16000366210901</v>
      </c>
      <c r="F12">
        <v>148.91000366210901</v>
      </c>
      <c r="G12">
        <v>148.91000366210901</v>
      </c>
      <c r="H12">
        <v>51011300</v>
      </c>
      <c r="I12" s="3">
        <f t="shared" si="0"/>
        <v>2.8960664530126579E-3</v>
      </c>
      <c r="J12">
        <f t="shared" ca="1" si="1"/>
        <v>152.29000200544041</v>
      </c>
      <c r="K12">
        <f t="shared" ca="1" si="2"/>
        <v>1.5414288702582752E-2</v>
      </c>
    </row>
    <row r="13" spans="1:11">
      <c r="A13" t="s">
        <v>11</v>
      </c>
      <c r="B13" s="1">
        <v>44980</v>
      </c>
      <c r="C13">
        <v>150.08999633789</v>
      </c>
      <c r="D13">
        <v>150.33999633789</v>
      </c>
      <c r="E13">
        <v>147.24000549316401</v>
      </c>
      <c r="F13">
        <v>149.39999389648401</v>
      </c>
      <c r="G13">
        <v>149.39999389648401</v>
      </c>
      <c r="H13">
        <v>48394200</v>
      </c>
      <c r="I13" s="3">
        <f t="shared" si="0"/>
        <v>3.2905125399556034E-3</v>
      </c>
      <c r="J13">
        <f t="shared" ca="1" si="1"/>
        <v>151.65428597586455</v>
      </c>
      <c r="K13">
        <f t="shared" ca="1" si="2"/>
        <v>1.2841934332759406E-2</v>
      </c>
    </row>
    <row r="14" spans="1:11">
      <c r="A14" t="s">
        <v>11</v>
      </c>
      <c r="B14" s="1">
        <v>44981</v>
      </c>
      <c r="C14">
        <v>147.11000061035099</v>
      </c>
      <c r="D14">
        <v>147.19000244140599</v>
      </c>
      <c r="E14">
        <v>145.72000122070301</v>
      </c>
      <c r="F14">
        <v>146.71000671386699</v>
      </c>
      <c r="G14">
        <v>146.71000671386699</v>
      </c>
      <c r="H14">
        <v>55469600</v>
      </c>
      <c r="I14" s="3">
        <f t="shared" si="0"/>
        <v>-1.8005269695531956E-2</v>
      </c>
      <c r="J14">
        <f t="shared" ca="1" si="1"/>
        <v>150.727144513811</v>
      </c>
      <c r="K14">
        <f t="shared" ca="1" si="2"/>
        <v>1.3876519210307216E-2</v>
      </c>
    </row>
    <row r="15" spans="1:11">
      <c r="A15" t="s">
        <v>11</v>
      </c>
      <c r="B15" s="1">
        <v>44984</v>
      </c>
      <c r="C15">
        <v>147.71000671386699</v>
      </c>
      <c r="D15">
        <v>149.169998168945</v>
      </c>
      <c r="E15">
        <v>147.44999694824199</v>
      </c>
      <c r="F15">
        <v>147.919998168945</v>
      </c>
      <c r="G15">
        <v>147.919998168945</v>
      </c>
      <c r="H15">
        <v>44998500</v>
      </c>
      <c r="I15" s="3">
        <f t="shared" si="0"/>
        <v>8.2475045989049978E-3</v>
      </c>
      <c r="J15">
        <f t="shared" ca="1" si="1"/>
        <v>149.66857256208115</v>
      </c>
      <c r="K15">
        <f t="shared" ca="1" si="2"/>
        <v>1.2627343351045064E-2</v>
      </c>
    </row>
    <row r="16" spans="1:11">
      <c r="A16" t="s">
        <v>11</v>
      </c>
      <c r="B16" s="1">
        <v>44985</v>
      </c>
      <c r="C16">
        <v>147.05000305175699</v>
      </c>
      <c r="D16">
        <v>149.08000183105401</v>
      </c>
      <c r="E16">
        <v>146.83000183105401</v>
      </c>
      <c r="F16">
        <v>147.41000366210901</v>
      </c>
      <c r="G16">
        <v>147.41000366210901</v>
      </c>
      <c r="H16">
        <v>50547000</v>
      </c>
      <c r="I16" s="3">
        <f t="shared" si="0"/>
        <v>-3.447772533457627E-3</v>
      </c>
      <c r="J16">
        <f t="shared" ca="1" si="1"/>
        <v>148.76857212611571</v>
      </c>
      <c r="K16">
        <f t="shared" ca="1" si="2"/>
        <v>1.2576774099380567E-2</v>
      </c>
    </row>
    <row r="17" spans="1:11">
      <c r="A17" t="s">
        <v>11</v>
      </c>
      <c r="B17" s="1">
        <v>44986</v>
      </c>
      <c r="C17">
        <v>146.83000183105401</v>
      </c>
      <c r="D17">
        <v>147.22999572753901</v>
      </c>
      <c r="E17">
        <v>145.009994506835</v>
      </c>
      <c r="F17">
        <v>145.30999755859301</v>
      </c>
      <c r="G17">
        <v>145.30999755859301</v>
      </c>
      <c r="H17">
        <v>55479000</v>
      </c>
      <c r="I17" s="3">
        <f t="shared" si="0"/>
        <v>-1.4246021649450546E-2</v>
      </c>
      <c r="J17">
        <f t="shared" ca="1" si="1"/>
        <v>147.73428562709228</v>
      </c>
      <c r="K17">
        <f t="shared" ca="1" si="2"/>
        <v>1.2972334156295421E-2</v>
      </c>
    </row>
    <row r="18" spans="1:11">
      <c r="A18" t="s">
        <v>11</v>
      </c>
      <c r="B18" s="1">
        <v>44987</v>
      </c>
      <c r="C18">
        <v>144.38000488281199</v>
      </c>
      <c r="D18">
        <v>146.71000671386699</v>
      </c>
      <c r="E18">
        <v>143.89999389648401</v>
      </c>
      <c r="F18">
        <v>145.91000366210901</v>
      </c>
      <c r="G18">
        <v>145.91000366210901</v>
      </c>
      <c r="H18">
        <v>52238100</v>
      </c>
      <c r="I18" s="3">
        <f t="shared" si="0"/>
        <v>4.129145369189402E-3</v>
      </c>
      <c r="J18">
        <f t="shared" ca="1" si="1"/>
        <v>147.36714390345944</v>
      </c>
      <c r="K18">
        <f t="shared" ca="1" si="2"/>
        <v>1.0011357988082621E-2</v>
      </c>
    </row>
    <row r="19" spans="1:11">
      <c r="A19" t="s">
        <v>11</v>
      </c>
      <c r="B19" s="1">
        <v>44988</v>
      </c>
      <c r="C19">
        <v>148.03999328613199</v>
      </c>
      <c r="D19">
        <v>151.11000061035099</v>
      </c>
      <c r="E19">
        <v>147.33000183105401</v>
      </c>
      <c r="F19">
        <v>151.02999877929599</v>
      </c>
      <c r="G19">
        <v>151.02999877929599</v>
      </c>
      <c r="H19">
        <v>70732300</v>
      </c>
      <c r="I19" s="3">
        <f t="shared" si="0"/>
        <v>3.5090089703812222E-2</v>
      </c>
      <c r="J19">
        <f t="shared" ca="1" si="1"/>
        <v>147.67000034877188</v>
      </c>
      <c r="K19">
        <f t="shared" ca="1" si="2"/>
        <v>1.7482592901997572E-2</v>
      </c>
    </row>
    <row r="20" spans="1:11">
      <c r="A20" t="s">
        <v>11</v>
      </c>
      <c r="B20" s="1">
        <v>44991</v>
      </c>
      <c r="C20">
        <v>153.78999328613199</v>
      </c>
      <c r="D20">
        <v>156.30000305175699</v>
      </c>
      <c r="E20">
        <v>153.46000671386699</v>
      </c>
      <c r="F20">
        <v>153.83000183105401</v>
      </c>
      <c r="G20">
        <v>153.83000183105401</v>
      </c>
      <c r="H20">
        <v>87558000</v>
      </c>
      <c r="I20" s="3">
        <f t="shared" si="0"/>
        <v>1.8539383396604103E-2</v>
      </c>
      <c r="J20">
        <f t="shared" ca="1" si="1"/>
        <v>148.30285862513898</v>
      </c>
      <c r="K20">
        <f t="shared" ca="1" si="2"/>
        <v>1.8564767154492557E-2</v>
      </c>
    </row>
    <row r="21" spans="1:11">
      <c r="A21" t="s">
        <v>11</v>
      </c>
      <c r="B21" s="1">
        <v>44992</v>
      </c>
      <c r="C21">
        <v>153.69999694824199</v>
      </c>
      <c r="D21">
        <v>154.02999877929599</v>
      </c>
      <c r="E21">
        <v>151.13000488281199</v>
      </c>
      <c r="F21">
        <v>151.600006103515</v>
      </c>
      <c r="G21">
        <v>151.600006103515</v>
      </c>
      <c r="H21">
        <v>56182000</v>
      </c>
      <c r="I21" s="3">
        <f t="shared" si="0"/>
        <v>-1.4496494188358189E-2</v>
      </c>
      <c r="J21">
        <f t="shared" ca="1" si="1"/>
        <v>149.00142996651726</v>
      </c>
      <c r="K21">
        <f t="shared" ca="1" si="2"/>
        <v>1.7896555766078483E-2</v>
      </c>
    </row>
    <row r="22" spans="1:11">
      <c r="A22" t="s">
        <v>11</v>
      </c>
      <c r="B22" s="1">
        <v>44993</v>
      </c>
      <c r="C22">
        <v>152.80999755859301</v>
      </c>
      <c r="D22">
        <v>153.47000122070301</v>
      </c>
      <c r="E22">
        <v>151.83000183105401</v>
      </c>
      <c r="F22">
        <v>152.86999511718699</v>
      </c>
      <c r="G22">
        <v>152.86999511718699</v>
      </c>
      <c r="H22">
        <v>47204800</v>
      </c>
      <c r="I22" s="3">
        <f t="shared" si="0"/>
        <v>8.3772359006688557E-3</v>
      </c>
      <c r="J22">
        <f t="shared" ca="1" si="1"/>
        <v>149.70857238769472</v>
      </c>
      <c r="K22">
        <f t="shared" ca="1" si="2"/>
        <v>1.7900750328763686E-2</v>
      </c>
    </row>
    <row r="23" spans="1:11">
      <c r="A23" t="s">
        <v>11</v>
      </c>
      <c r="B23" s="1">
        <v>44994</v>
      </c>
      <c r="C23">
        <v>153.55999755859301</v>
      </c>
      <c r="D23">
        <v>154.53999328613199</v>
      </c>
      <c r="E23">
        <v>150.22999572753901</v>
      </c>
      <c r="F23">
        <v>150.58999633789</v>
      </c>
      <c r="G23">
        <v>150.58999633789</v>
      </c>
      <c r="H23">
        <v>53833600</v>
      </c>
      <c r="I23" s="3">
        <f t="shared" si="0"/>
        <v>-1.491462583974823E-2</v>
      </c>
      <c r="J23">
        <f t="shared" ca="1" si="1"/>
        <v>150.16285705566341</v>
      </c>
      <c r="K23">
        <f t="shared" ca="1" si="2"/>
        <v>1.925967267444658E-2</v>
      </c>
    </row>
    <row r="24" spans="1:11">
      <c r="A24" t="s">
        <v>11</v>
      </c>
      <c r="B24" s="1">
        <v>44995</v>
      </c>
      <c r="C24">
        <v>150.21000671386699</v>
      </c>
      <c r="D24">
        <v>150.94000244140599</v>
      </c>
      <c r="E24">
        <v>147.61000061035099</v>
      </c>
      <c r="F24">
        <v>148.5</v>
      </c>
      <c r="G24">
        <v>148.5</v>
      </c>
      <c r="H24">
        <v>68572400</v>
      </c>
      <c r="I24" s="3">
        <f t="shared" si="0"/>
        <v>-1.3878719627567593E-2</v>
      </c>
      <c r="J24">
        <f t="shared" ca="1" si="1"/>
        <v>150.61857169015016</v>
      </c>
      <c r="K24">
        <f t="shared" ca="1" si="2"/>
        <v>1.9204606255343516E-2</v>
      </c>
    </row>
    <row r="25" spans="1:11">
      <c r="A25" t="s">
        <v>11</v>
      </c>
      <c r="B25" s="1">
        <v>44998</v>
      </c>
      <c r="C25">
        <v>147.80999755859301</v>
      </c>
      <c r="D25">
        <v>153.13999938964801</v>
      </c>
      <c r="E25">
        <v>147.69999694824199</v>
      </c>
      <c r="F25">
        <v>150.47000122070301</v>
      </c>
      <c r="G25">
        <v>150.47000122070301</v>
      </c>
      <c r="H25">
        <v>84457100</v>
      </c>
      <c r="I25" s="3">
        <f t="shared" si="0"/>
        <v>1.3266001486215595E-2</v>
      </c>
      <c r="J25">
        <f t="shared" ca="1" si="1"/>
        <v>151.26999991280641</v>
      </c>
      <c r="K25">
        <f t="shared" ca="1" si="2"/>
        <v>1.9580058428782531E-2</v>
      </c>
    </row>
    <row r="26" spans="1:11">
      <c r="A26" t="s">
        <v>11</v>
      </c>
      <c r="B26" s="1">
        <v>44999</v>
      </c>
      <c r="C26">
        <v>151.27999877929599</v>
      </c>
      <c r="D26">
        <v>153.39999389648401</v>
      </c>
      <c r="E26">
        <v>150.100006103515</v>
      </c>
      <c r="F26">
        <v>152.58999633789</v>
      </c>
      <c r="G26">
        <v>152.58999633789</v>
      </c>
      <c r="H26">
        <v>73695900</v>
      </c>
      <c r="I26" s="3">
        <f t="shared" si="0"/>
        <v>1.4089154648689428E-2</v>
      </c>
      <c r="J26">
        <f t="shared" ca="1" si="1"/>
        <v>151.49285670689127</v>
      </c>
      <c r="K26">
        <f t="shared" ca="1" si="2"/>
        <v>1.5255393422074532E-2</v>
      </c>
    </row>
    <row r="27" spans="1:11">
      <c r="A27" t="s">
        <v>11</v>
      </c>
      <c r="B27" s="1">
        <v>45000</v>
      </c>
      <c r="C27">
        <v>151.19000244140599</v>
      </c>
      <c r="D27">
        <v>153.25</v>
      </c>
      <c r="E27">
        <v>149.919998168945</v>
      </c>
      <c r="F27">
        <v>152.99000549316401</v>
      </c>
      <c r="G27">
        <v>152.99000549316401</v>
      </c>
      <c r="H27">
        <v>77167900</v>
      </c>
      <c r="I27" s="3">
        <f t="shared" si="0"/>
        <v>2.6214638238029053E-3</v>
      </c>
      <c r="J27">
        <f t="shared" ca="1" si="1"/>
        <v>151.37285723004987</v>
      </c>
      <c r="K27">
        <f t="shared" ca="1" si="2"/>
        <v>1.3374564989588122E-2</v>
      </c>
    </row>
    <row r="28" spans="1:11">
      <c r="A28" t="s">
        <v>11</v>
      </c>
      <c r="B28" s="1">
        <v>45001</v>
      </c>
      <c r="C28">
        <v>152.16000366210901</v>
      </c>
      <c r="D28">
        <v>156.46000671386699</v>
      </c>
      <c r="E28">
        <v>151.63999938964801</v>
      </c>
      <c r="F28">
        <v>155.850006103515</v>
      </c>
      <c r="G28">
        <v>155.850006103515</v>
      </c>
      <c r="H28">
        <v>76161100</v>
      </c>
      <c r="I28" s="3">
        <f t="shared" si="0"/>
        <v>1.869403560795857E-2</v>
      </c>
      <c r="J28">
        <f t="shared" ca="1" si="1"/>
        <v>151.98000008719274</v>
      </c>
      <c r="K28">
        <f t="shared" ca="1" si="2"/>
        <v>1.3552536623425199E-2</v>
      </c>
    </row>
    <row r="29" spans="1:11">
      <c r="A29" t="s">
        <v>11</v>
      </c>
      <c r="B29" s="1">
        <v>45002</v>
      </c>
      <c r="C29">
        <v>156.08000183105401</v>
      </c>
      <c r="D29">
        <v>156.74000549316401</v>
      </c>
      <c r="E29">
        <v>154.27999877929599</v>
      </c>
      <c r="F29">
        <v>155</v>
      </c>
      <c r="G29">
        <v>155</v>
      </c>
      <c r="H29">
        <v>98944600</v>
      </c>
      <c r="I29" s="3">
        <f t="shared" si="0"/>
        <v>-5.4540010922452531E-3</v>
      </c>
      <c r="J29">
        <f t="shared" ca="1" si="1"/>
        <v>152.28428649902315</v>
      </c>
      <c r="K29">
        <f t="shared" ca="1" si="2"/>
        <v>1.3819806617792734E-2</v>
      </c>
    </row>
    <row r="30" spans="1:11">
      <c r="A30" t="s">
        <v>11</v>
      </c>
      <c r="B30" s="1">
        <v>45005</v>
      </c>
      <c r="C30">
        <v>155.07000732421801</v>
      </c>
      <c r="D30">
        <v>157.82000732421801</v>
      </c>
      <c r="E30">
        <v>154.14999389648401</v>
      </c>
      <c r="F30">
        <v>157.39999389648401</v>
      </c>
      <c r="G30">
        <v>157.39999389648401</v>
      </c>
      <c r="H30">
        <v>73641400</v>
      </c>
      <c r="I30" s="3">
        <f t="shared" si="0"/>
        <v>1.5483831590219488E-2</v>
      </c>
      <c r="J30">
        <f t="shared" ca="1" si="1"/>
        <v>153.25714329310799</v>
      </c>
      <c r="K30">
        <f t="shared" ca="1" si="2"/>
        <v>1.2287835875980063E-2</v>
      </c>
    </row>
    <row r="31" spans="1:11">
      <c r="A31" t="s">
        <v>11</v>
      </c>
      <c r="B31" s="1">
        <v>45006</v>
      </c>
      <c r="C31">
        <v>157.32000732421801</v>
      </c>
      <c r="D31">
        <v>159.39999389648401</v>
      </c>
      <c r="E31">
        <v>156.53999328613199</v>
      </c>
      <c r="F31">
        <v>159.27999877929599</v>
      </c>
      <c r="G31">
        <v>159.27999877929599</v>
      </c>
      <c r="H31">
        <v>73938300</v>
      </c>
      <c r="I31" s="3">
        <f t="shared" si="0"/>
        <v>1.1944122971493831E-2</v>
      </c>
      <c r="J31">
        <f t="shared" ca="1" si="1"/>
        <v>154.79714311872175</v>
      </c>
      <c r="K31">
        <f t="shared" ca="1" si="2"/>
        <v>8.4659692828250154E-3</v>
      </c>
    </row>
    <row r="32" spans="1:11">
      <c r="A32" t="s">
        <v>11</v>
      </c>
      <c r="B32" s="1">
        <v>45007</v>
      </c>
      <c r="C32">
        <v>159.30000305175699</v>
      </c>
      <c r="D32">
        <v>162.13999938964801</v>
      </c>
      <c r="E32">
        <v>157.80999755859301</v>
      </c>
      <c r="F32">
        <v>157.83000183105401</v>
      </c>
      <c r="G32">
        <v>157.83000183105401</v>
      </c>
      <c r="H32">
        <v>75701800</v>
      </c>
      <c r="I32" s="3">
        <f t="shared" si="0"/>
        <v>-9.103446505239865E-3</v>
      </c>
      <c r="J32">
        <f t="shared" ca="1" si="1"/>
        <v>155.8485717773433</v>
      </c>
      <c r="K32">
        <f t="shared" ca="1" si="2"/>
        <v>1.0931193808779284E-2</v>
      </c>
    </row>
    <row r="33" spans="1:11">
      <c r="A33" t="s">
        <v>11</v>
      </c>
      <c r="B33" s="1">
        <v>45008</v>
      </c>
      <c r="C33">
        <v>158.83000183105401</v>
      </c>
      <c r="D33">
        <v>161.55000305175699</v>
      </c>
      <c r="E33">
        <v>157.67999267578099</v>
      </c>
      <c r="F33">
        <v>158.92999267578099</v>
      </c>
      <c r="G33">
        <v>158.92999267578099</v>
      </c>
      <c r="H33">
        <v>67622100</v>
      </c>
      <c r="I33" s="3">
        <f t="shared" si="0"/>
        <v>6.9694660835426525E-3</v>
      </c>
      <c r="J33">
        <f t="shared" ca="1" si="1"/>
        <v>156.75428553989914</v>
      </c>
      <c r="K33">
        <f t="shared" ca="1" si="2"/>
        <v>1.0471985791892215E-2</v>
      </c>
    </row>
    <row r="34" spans="1:11">
      <c r="A34" t="s">
        <v>11</v>
      </c>
      <c r="B34" s="1">
        <v>45009</v>
      </c>
      <c r="C34">
        <v>158.86000061035099</v>
      </c>
      <c r="D34">
        <v>160.33999633789</v>
      </c>
      <c r="E34">
        <v>157.850006103515</v>
      </c>
      <c r="F34">
        <v>160.25</v>
      </c>
      <c r="G34">
        <v>160.25</v>
      </c>
      <c r="H34">
        <v>59196500</v>
      </c>
      <c r="I34" s="3">
        <f t="shared" si="0"/>
        <v>8.3055897882775565E-3</v>
      </c>
      <c r="J34">
        <f t="shared" ca="1" si="1"/>
        <v>157.79142761230429</v>
      </c>
      <c r="K34">
        <f t="shared" ca="1" si="2"/>
        <v>1.0397372157189338E-2</v>
      </c>
    </row>
    <row r="35" spans="1:11">
      <c r="A35" t="s">
        <v>11</v>
      </c>
      <c r="B35" s="1">
        <v>45012</v>
      </c>
      <c r="C35">
        <v>159.94000244140599</v>
      </c>
      <c r="D35">
        <v>160.77000427246</v>
      </c>
      <c r="E35">
        <v>157.86999511718699</v>
      </c>
      <c r="F35">
        <v>158.27999877929599</v>
      </c>
      <c r="G35">
        <v>158.27999877929599</v>
      </c>
      <c r="H35">
        <v>52390300</v>
      </c>
      <c r="I35" s="3">
        <f t="shared" si="0"/>
        <v>-1.2293299349167008E-2</v>
      </c>
      <c r="J35">
        <f t="shared" ca="1" si="1"/>
        <v>158.13856942313015</v>
      </c>
      <c r="K35">
        <f t="shared" ca="1" si="2"/>
        <v>1.1013720903976129E-2</v>
      </c>
    </row>
    <row r="36" spans="1:11">
      <c r="A36" t="s">
        <v>11</v>
      </c>
      <c r="B36" s="1">
        <v>45013</v>
      </c>
      <c r="C36">
        <v>157.97000122070301</v>
      </c>
      <c r="D36">
        <v>158.49000549316401</v>
      </c>
      <c r="E36">
        <v>155.97999572753901</v>
      </c>
      <c r="F36">
        <v>157.64999389648401</v>
      </c>
      <c r="G36">
        <v>157.64999389648401</v>
      </c>
      <c r="H36">
        <v>45992200</v>
      </c>
      <c r="I36" s="3">
        <f t="shared" si="0"/>
        <v>-3.980318976944508E-3</v>
      </c>
      <c r="J36">
        <f t="shared" ca="1" si="1"/>
        <v>158.51713997977072</v>
      </c>
      <c r="K36">
        <f t="shared" ca="1" si="2"/>
        <v>1.0854524586203031E-2</v>
      </c>
    </row>
    <row r="37" spans="1:11">
      <c r="A37" t="s">
        <v>11</v>
      </c>
      <c r="B37" s="1">
        <v>45014</v>
      </c>
      <c r="C37">
        <v>159.36999511718699</v>
      </c>
      <c r="D37">
        <v>161.05000305175699</v>
      </c>
      <c r="E37">
        <v>159.350006103515</v>
      </c>
      <c r="F37">
        <v>160.77000427246</v>
      </c>
      <c r="G37">
        <v>160.77000427246</v>
      </c>
      <c r="H37">
        <v>51305700</v>
      </c>
      <c r="I37" s="3">
        <f t="shared" si="0"/>
        <v>1.979074212983889E-2</v>
      </c>
      <c r="J37">
        <f t="shared" ca="1" si="1"/>
        <v>158.99857003348157</v>
      </c>
      <c r="K37">
        <f t="shared" ca="1" si="2"/>
        <v>1.1796032956233347E-2</v>
      </c>
    </row>
    <row r="38" spans="1:11">
      <c r="A38" t="s">
        <v>11</v>
      </c>
      <c r="B38" s="1">
        <v>45015</v>
      </c>
      <c r="C38">
        <v>161.52999877929599</v>
      </c>
      <c r="D38">
        <v>162.47000122070301</v>
      </c>
      <c r="E38">
        <v>161.27000427246</v>
      </c>
      <c r="F38">
        <v>162.36000061035099</v>
      </c>
      <c r="G38">
        <v>162.36000061035099</v>
      </c>
      <c r="H38">
        <v>49501700</v>
      </c>
      <c r="I38" s="3">
        <f t="shared" si="0"/>
        <v>9.8898817916082127E-3</v>
      </c>
      <c r="J38">
        <f t="shared" ca="1" si="1"/>
        <v>159.43857029506086</v>
      </c>
      <c r="K38">
        <f t="shared" ca="1" si="2"/>
        <v>1.1562295708643078E-2</v>
      </c>
    </row>
    <row r="39" spans="1:11">
      <c r="A39" t="s">
        <v>11</v>
      </c>
      <c r="B39" s="1">
        <v>45016</v>
      </c>
      <c r="C39">
        <v>162.44000244140599</v>
      </c>
      <c r="D39">
        <v>165</v>
      </c>
      <c r="E39">
        <v>161.91000366210901</v>
      </c>
      <c r="F39">
        <v>164.89999389648401</v>
      </c>
      <c r="G39">
        <v>164.89999389648401</v>
      </c>
      <c r="H39">
        <v>68749800</v>
      </c>
      <c r="I39" s="3">
        <f t="shared" si="0"/>
        <v>1.5644205941023337E-2</v>
      </c>
      <c r="J39">
        <f t="shared" ca="1" si="1"/>
        <v>160.44856916155086</v>
      </c>
      <c r="K39">
        <f t="shared" ca="1" si="2"/>
        <v>1.1090991535945819E-2</v>
      </c>
    </row>
    <row r="40" spans="1:11">
      <c r="A40" t="s">
        <v>11</v>
      </c>
      <c r="B40" s="1">
        <v>45019</v>
      </c>
      <c r="C40">
        <v>164.27000427246</v>
      </c>
      <c r="D40">
        <v>166.28999328613199</v>
      </c>
      <c r="E40">
        <v>164.22000122070301</v>
      </c>
      <c r="F40">
        <v>166.169998168945</v>
      </c>
      <c r="G40">
        <v>166.169998168945</v>
      </c>
      <c r="H40">
        <v>56976200</v>
      </c>
      <c r="I40" s="3">
        <f t="shared" si="0"/>
        <v>7.7016635504441044E-3</v>
      </c>
      <c r="J40">
        <f t="shared" ca="1" si="1"/>
        <v>161.4828556605743</v>
      </c>
      <c r="K40">
        <f t="shared" ca="1" si="2"/>
        <v>1.1101449701173055E-2</v>
      </c>
    </row>
    <row r="41" spans="1:11">
      <c r="A41" t="s">
        <v>11</v>
      </c>
      <c r="B41" s="1">
        <v>45020</v>
      </c>
      <c r="C41">
        <v>166.600006103515</v>
      </c>
      <c r="D41">
        <v>166.83999633789</v>
      </c>
      <c r="E41">
        <v>165.11000061035099</v>
      </c>
      <c r="F41">
        <v>165.63000488281199</v>
      </c>
      <c r="G41">
        <v>165.63000488281199</v>
      </c>
      <c r="H41">
        <v>46278300</v>
      </c>
      <c r="I41" s="3">
        <f t="shared" si="0"/>
        <v>-3.2496436906980231E-3</v>
      </c>
      <c r="J41">
        <f t="shared" ca="1" si="1"/>
        <v>162.2514277866903</v>
      </c>
      <c r="K41">
        <f t="shared" ca="1" si="2"/>
        <v>1.1624084264247544E-2</v>
      </c>
    </row>
    <row r="42" spans="1:11">
      <c r="A42" t="s">
        <v>11</v>
      </c>
      <c r="B42" s="1">
        <v>45021</v>
      </c>
      <c r="C42">
        <v>164.74000549316401</v>
      </c>
      <c r="D42">
        <v>165.05000305175699</v>
      </c>
      <c r="E42">
        <v>161.80000305175699</v>
      </c>
      <c r="F42">
        <v>163.759994506835</v>
      </c>
      <c r="G42">
        <v>163.759994506835</v>
      </c>
      <c r="H42">
        <v>51511700</v>
      </c>
      <c r="I42" s="3">
        <f t="shared" si="0"/>
        <v>-1.1290287513425312E-2</v>
      </c>
      <c r="J42">
        <f t="shared" ca="1" si="1"/>
        <v>163.03428431919585</v>
      </c>
      <c r="K42">
        <f t="shared" ca="1" si="2"/>
        <v>1.1382124084132124E-2</v>
      </c>
    </row>
    <row r="43" spans="1:11">
      <c r="A43" t="s">
        <v>11</v>
      </c>
      <c r="B43" s="1">
        <v>45022</v>
      </c>
      <c r="C43">
        <v>162.42999267578099</v>
      </c>
      <c r="D43">
        <v>164.96000671386699</v>
      </c>
      <c r="E43">
        <v>162</v>
      </c>
      <c r="F43">
        <v>164.66000366210901</v>
      </c>
      <c r="G43">
        <v>164.66000366210901</v>
      </c>
      <c r="H43">
        <v>45390100</v>
      </c>
      <c r="I43" s="3">
        <f t="shared" si="0"/>
        <v>5.4959036728376987E-3</v>
      </c>
      <c r="J43">
        <f t="shared" ca="1" si="1"/>
        <v>164.03571428571371</v>
      </c>
      <c r="K43">
        <f t="shared" ca="1" si="2"/>
        <v>1.0688192291254893E-2</v>
      </c>
    </row>
    <row r="44" spans="1:11">
      <c r="A44" t="s">
        <v>11</v>
      </c>
      <c r="B44" s="1">
        <v>45026</v>
      </c>
      <c r="C44">
        <v>161.419998168945</v>
      </c>
      <c r="D44">
        <v>162.02999877929599</v>
      </c>
      <c r="E44">
        <v>160.08000183105401</v>
      </c>
      <c r="F44">
        <v>162.02999877929599</v>
      </c>
      <c r="G44">
        <v>162.02999877929599</v>
      </c>
      <c r="H44">
        <v>47716900</v>
      </c>
      <c r="I44" s="3">
        <f t="shared" si="0"/>
        <v>-1.5972335869795851E-2</v>
      </c>
      <c r="J44">
        <f t="shared" ca="1" si="1"/>
        <v>164.21571350097602</v>
      </c>
      <c r="K44">
        <f t="shared" ca="1" si="2"/>
        <v>1.1658806531046647E-2</v>
      </c>
    </row>
    <row r="45" spans="1:11">
      <c r="A45" t="s">
        <v>11</v>
      </c>
      <c r="B45" s="1">
        <v>45027</v>
      </c>
      <c r="C45">
        <v>162.350006103515</v>
      </c>
      <c r="D45">
        <v>162.36000061035099</v>
      </c>
      <c r="E45">
        <v>160.509994506835</v>
      </c>
      <c r="F45">
        <v>160.80000305175699</v>
      </c>
      <c r="G45">
        <v>160.80000305175699</v>
      </c>
      <c r="H45">
        <v>47644200</v>
      </c>
      <c r="I45" s="3">
        <f t="shared" si="0"/>
        <v>-7.5911605061135257E-3</v>
      </c>
      <c r="J45">
        <f t="shared" ca="1" si="1"/>
        <v>163.99285670689113</v>
      </c>
      <c r="K45">
        <f t="shared" ca="1" si="2"/>
        <v>1.1348859933379142E-2</v>
      </c>
    </row>
    <row r="46" spans="1:11">
      <c r="A46" t="s">
        <v>11</v>
      </c>
      <c r="B46" s="1">
        <v>45028</v>
      </c>
      <c r="C46">
        <v>161.22000122070301</v>
      </c>
      <c r="D46">
        <v>162.05999755859301</v>
      </c>
      <c r="E46">
        <v>159.77999877929599</v>
      </c>
      <c r="F46">
        <v>160.100006103515</v>
      </c>
      <c r="G46">
        <v>160.100006103515</v>
      </c>
      <c r="H46">
        <v>50133100</v>
      </c>
      <c r="I46" s="3">
        <f t="shared" si="0"/>
        <v>-4.3532147696333512E-3</v>
      </c>
      <c r="J46">
        <f t="shared" ca="1" si="1"/>
        <v>163.30714416503844</v>
      </c>
      <c r="K46">
        <f t="shared" ca="1" si="2"/>
        <v>8.5336978746670244E-3</v>
      </c>
    </row>
    <row r="47" spans="1:11">
      <c r="A47" t="s">
        <v>11</v>
      </c>
      <c r="B47" s="1">
        <v>45029</v>
      </c>
      <c r="C47">
        <v>161.63000488281199</v>
      </c>
      <c r="D47">
        <v>165.80000305175699</v>
      </c>
      <c r="E47">
        <v>161.419998168945</v>
      </c>
      <c r="F47">
        <v>165.55999755859301</v>
      </c>
      <c r="G47">
        <v>165.55999755859301</v>
      </c>
      <c r="H47">
        <v>68445600</v>
      </c>
      <c r="I47" s="3">
        <f t="shared" si="0"/>
        <v>3.4103630524209727E-2</v>
      </c>
      <c r="J47">
        <f t="shared" ca="1" si="1"/>
        <v>163.22000122070244</v>
      </c>
      <c r="K47">
        <f t="shared" ca="1" si="2"/>
        <v>1.6642410210738479E-2</v>
      </c>
    </row>
    <row r="48" spans="1:11">
      <c r="A48" t="s">
        <v>11</v>
      </c>
      <c r="B48" s="1">
        <v>45030</v>
      </c>
      <c r="C48">
        <v>164.58999633789</v>
      </c>
      <c r="D48">
        <v>166.32000732421801</v>
      </c>
      <c r="E48">
        <v>163.82000732421801</v>
      </c>
      <c r="F48">
        <v>165.21000671386699</v>
      </c>
      <c r="G48">
        <v>165.21000671386699</v>
      </c>
      <c r="H48">
        <v>49386500</v>
      </c>
      <c r="I48" s="3">
        <f t="shared" si="0"/>
        <v>-2.1139819394002668E-3</v>
      </c>
      <c r="J48">
        <f t="shared" ca="1" si="1"/>
        <v>163.16000148228173</v>
      </c>
      <c r="K48">
        <f t="shared" ca="1" si="2"/>
        <v>1.6615607391913711E-2</v>
      </c>
    </row>
    <row r="49" spans="1:11">
      <c r="A49" t="s">
        <v>11</v>
      </c>
      <c r="B49" s="1">
        <v>45033</v>
      </c>
      <c r="C49">
        <v>165.08999633789</v>
      </c>
      <c r="D49">
        <v>165.38999938964801</v>
      </c>
      <c r="E49">
        <v>164.02999877929599</v>
      </c>
      <c r="F49">
        <v>165.22999572753901</v>
      </c>
      <c r="G49">
        <v>165.22999572753901</v>
      </c>
      <c r="H49">
        <v>41516200</v>
      </c>
      <c r="I49" s="3">
        <f t="shared" si="0"/>
        <v>1.2099154324607397E-4</v>
      </c>
      <c r="J49">
        <f t="shared" ca="1" si="1"/>
        <v>163.37000165666799</v>
      </c>
      <c r="K49">
        <f t="shared" ca="1" si="2"/>
        <v>1.5895620860446925E-2</v>
      </c>
    </row>
    <row r="50" spans="1:11">
      <c r="A50" t="s">
        <v>11</v>
      </c>
      <c r="B50" s="1">
        <v>45034</v>
      </c>
      <c r="C50">
        <v>166.100006103515</v>
      </c>
      <c r="D50">
        <v>167.41000366210901</v>
      </c>
      <c r="E50">
        <v>165.64999389648401</v>
      </c>
      <c r="F50">
        <v>166.47000122070301</v>
      </c>
      <c r="G50">
        <v>166.47000122070301</v>
      </c>
      <c r="H50">
        <v>49923000</v>
      </c>
      <c r="I50" s="3">
        <f t="shared" si="0"/>
        <v>7.5047238711349884E-3</v>
      </c>
      <c r="J50">
        <f t="shared" ca="1" si="1"/>
        <v>163.62857273646711</v>
      </c>
      <c r="K50">
        <f t="shared" ca="1" si="2"/>
        <v>1.6000013294150586E-2</v>
      </c>
    </row>
    <row r="51" spans="1:11">
      <c r="A51" t="s">
        <v>11</v>
      </c>
      <c r="B51" s="1">
        <v>45035</v>
      </c>
      <c r="C51">
        <v>165.80000305175699</v>
      </c>
      <c r="D51">
        <v>168.16000366210901</v>
      </c>
      <c r="E51">
        <v>165.53999328613199</v>
      </c>
      <c r="F51">
        <v>167.63000488281199</v>
      </c>
      <c r="G51">
        <v>167.63000488281199</v>
      </c>
      <c r="H51">
        <v>47720200</v>
      </c>
      <c r="I51" s="3">
        <f t="shared" si="0"/>
        <v>6.9682444500680507E-3</v>
      </c>
      <c r="J51">
        <f t="shared" ca="1" si="1"/>
        <v>164.42857360839798</v>
      </c>
      <c r="K51">
        <f t="shared" ca="1" si="2"/>
        <v>1.4009423949048605E-2</v>
      </c>
    </row>
    <row r="52" spans="1:11">
      <c r="A52" t="s">
        <v>11</v>
      </c>
      <c r="B52" s="1">
        <v>45036</v>
      </c>
      <c r="C52">
        <v>166.08999633789</v>
      </c>
      <c r="D52">
        <v>167.86999511718699</v>
      </c>
      <c r="E52">
        <v>165.55999755859301</v>
      </c>
      <c r="F52">
        <v>166.64999389648401</v>
      </c>
      <c r="G52">
        <v>166.64999389648401</v>
      </c>
      <c r="H52">
        <v>52456400</v>
      </c>
      <c r="I52" s="3">
        <f t="shared" si="0"/>
        <v>-5.8462742813442103E-3</v>
      </c>
      <c r="J52">
        <f t="shared" ca="1" si="1"/>
        <v>165.26428658621612</v>
      </c>
      <c r="K52">
        <f t="shared" ca="1" si="2"/>
        <v>1.3762467127764787E-2</v>
      </c>
    </row>
    <row r="53" spans="1:11">
      <c r="A53" t="s">
        <v>11</v>
      </c>
      <c r="B53" s="1">
        <v>45037</v>
      </c>
      <c r="C53">
        <v>165.05000305175699</v>
      </c>
      <c r="D53">
        <v>166.44999694824199</v>
      </c>
      <c r="E53">
        <v>164.49000549316401</v>
      </c>
      <c r="F53">
        <v>165.02000427246</v>
      </c>
      <c r="G53">
        <v>165.02000427246</v>
      </c>
      <c r="H53">
        <v>58337300</v>
      </c>
      <c r="I53" s="3">
        <f t="shared" si="0"/>
        <v>-9.7809161939512723E-3</v>
      </c>
      <c r="J53">
        <f t="shared" ca="1" si="1"/>
        <v>165.967143467494</v>
      </c>
      <c r="K53">
        <f t="shared" ca="1" si="2"/>
        <v>1.4522188516153431E-2</v>
      </c>
    </row>
    <row r="54" spans="1:11">
      <c r="A54" t="s">
        <v>11</v>
      </c>
      <c r="B54" s="1">
        <v>45040</v>
      </c>
      <c r="C54">
        <v>165</v>
      </c>
      <c r="D54">
        <v>165.600006103515</v>
      </c>
      <c r="E54">
        <v>163.88999938964801</v>
      </c>
      <c r="F54">
        <v>165.33000183105401</v>
      </c>
      <c r="G54">
        <v>165.33000183105401</v>
      </c>
      <c r="H54">
        <v>41949600</v>
      </c>
      <c r="I54" s="3">
        <f t="shared" si="0"/>
        <v>1.8785453312810674E-3</v>
      </c>
      <c r="J54">
        <f t="shared" ca="1" si="1"/>
        <v>165.93428693498845</v>
      </c>
      <c r="K54">
        <f t="shared" ca="1" si="2"/>
        <v>6.3574774332888773E-3</v>
      </c>
    </row>
    <row r="55" spans="1:11">
      <c r="A55" t="s">
        <v>11</v>
      </c>
      <c r="B55" s="1">
        <v>45041</v>
      </c>
      <c r="C55">
        <v>165.19000244140599</v>
      </c>
      <c r="D55">
        <v>166.30999755859301</v>
      </c>
      <c r="E55">
        <v>163.72999572753901</v>
      </c>
      <c r="F55">
        <v>163.77000427246</v>
      </c>
      <c r="G55">
        <v>163.77000427246</v>
      </c>
      <c r="H55">
        <v>48714100</v>
      </c>
      <c r="I55" s="3">
        <f t="shared" si="0"/>
        <v>-9.4356592349652546E-3</v>
      </c>
      <c r="J55">
        <f t="shared" ca="1" si="1"/>
        <v>165.72857230050172</v>
      </c>
      <c r="K55">
        <f t="shared" ca="1" si="2"/>
        <v>7.2658538117277146E-3</v>
      </c>
    </row>
    <row r="56" spans="1:11">
      <c r="A56" t="s">
        <v>11</v>
      </c>
      <c r="B56" s="1">
        <v>45042</v>
      </c>
      <c r="C56">
        <v>163.05999755859301</v>
      </c>
      <c r="D56">
        <v>165.27999877929599</v>
      </c>
      <c r="E56">
        <v>162.80000305175699</v>
      </c>
      <c r="F56">
        <v>163.759994506835</v>
      </c>
      <c r="G56">
        <v>163.759994506835</v>
      </c>
      <c r="H56">
        <v>45498800</v>
      </c>
      <c r="I56" s="3">
        <f t="shared" si="0"/>
        <v>-6.1120872955178207E-5</v>
      </c>
      <c r="J56">
        <f t="shared" ca="1" si="1"/>
        <v>165.51857212611543</v>
      </c>
      <c r="K56">
        <f t="shared" ca="1" si="2"/>
        <v>7.2605460631784569E-3</v>
      </c>
    </row>
    <row r="57" spans="1:11">
      <c r="A57" t="s">
        <v>11</v>
      </c>
      <c r="B57" s="1">
        <v>45043</v>
      </c>
      <c r="C57">
        <v>165.19000244140599</v>
      </c>
      <c r="D57">
        <v>168.55999755859301</v>
      </c>
      <c r="E57">
        <v>165.19000244140599</v>
      </c>
      <c r="F57">
        <v>168.41000366210901</v>
      </c>
      <c r="G57">
        <v>168.41000366210901</v>
      </c>
      <c r="H57">
        <v>64902300</v>
      </c>
      <c r="I57" s="3">
        <f t="shared" si="0"/>
        <v>2.8395269365253384E-2</v>
      </c>
      <c r="J57">
        <f t="shared" ca="1" si="1"/>
        <v>165.79571533203057</v>
      </c>
      <c r="K57">
        <f t="shared" ca="1" si="2"/>
        <v>1.3268251802406967E-2</v>
      </c>
    </row>
    <row r="58" spans="1:11">
      <c r="A58" t="s">
        <v>11</v>
      </c>
      <c r="B58" s="1">
        <v>45044</v>
      </c>
      <c r="C58">
        <v>168.49000549316401</v>
      </c>
      <c r="D58">
        <v>169.850006103515</v>
      </c>
      <c r="E58">
        <v>167.88000488281199</v>
      </c>
      <c r="F58">
        <v>169.67999267578099</v>
      </c>
      <c r="G58">
        <v>169.67999267578099</v>
      </c>
      <c r="H58">
        <v>55209200</v>
      </c>
      <c r="I58" s="3">
        <f t="shared" si="0"/>
        <v>7.5410544864071838E-3</v>
      </c>
      <c r="J58">
        <f t="shared" ca="1" si="1"/>
        <v>166.08857073102612</v>
      </c>
      <c r="K58">
        <f t="shared" ca="1" si="2"/>
        <v>1.3307641838777973E-2</v>
      </c>
    </row>
    <row r="59" spans="1:11">
      <c r="A59" t="s">
        <v>11</v>
      </c>
      <c r="B59" s="1">
        <v>45047</v>
      </c>
      <c r="C59">
        <v>169.27999877929599</v>
      </c>
      <c r="D59">
        <v>170.44999694824199</v>
      </c>
      <c r="E59">
        <v>168.63999938964801</v>
      </c>
      <c r="F59">
        <v>169.58999633789</v>
      </c>
      <c r="G59">
        <v>169.58999633789</v>
      </c>
      <c r="H59">
        <v>52472900</v>
      </c>
      <c r="I59" s="3">
        <f t="shared" si="0"/>
        <v>-5.303886243261946E-4</v>
      </c>
      <c r="J59">
        <f t="shared" ca="1" si="1"/>
        <v>166.50857107979846</v>
      </c>
      <c r="K59">
        <f t="shared" ca="1" si="2"/>
        <v>1.294443368772343E-2</v>
      </c>
    </row>
    <row r="60" spans="1:11">
      <c r="A60" t="s">
        <v>11</v>
      </c>
      <c r="B60" s="1">
        <v>45048</v>
      </c>
      <c r="C60">
        <v>170.08999633789</v>
      </c>
      <c r="D60">
        <v>170.350006103515</v>
      </c>
      <c r="E60">
        <v>167.53999328613199</v>
      </c>
      <c r="F60">
        <v>168.53999328613199</v>
      </c>
      <c r="G60">
        <v>168.53999328613199</v>
      </c>
      <c r="H60">
        <v>48425700</v>
      </c>
      <c r="I60" s="3">
        <f t="shared" si="0"/>
        <v>-6.1914209235902629E-3</v>
      </c>
      <c r="J60">
        <f t="shared" ca="1" si="1"/>
        <v>167.01142665318017</v>
      </c>
      <c r="K60">
        <f t="shared" ca="1" si="2"/>
        <v>1.2434559996525802E-2</v>
      </c>
    </row>
    <row r="61" spans="1:11">
      <c r="A61" t="s">
        <v>11</v>
      </c>
      <c r="B61" s="1">
        <v>45049</v>
      </c>
      <c r="C61">
        <v>169.5</v>
      </c>
      <c r="D61">
        <v>170.919998168945</v>
      </c>
      <c r="E61">
        <v>167.16000366210901</v>
      </c>
      <c r="F61">
        <v>167.44999694824199</v>
      </c>
      <c r="G61">
        <v>167.44999694824199</v>
      </c>
      <c r="H61">
        <v>65136000</v>
      </c>
      <c r="I61" s="3">
        <f t="shared" si="0"/>
        <v>-6.4672859932983773E-3</v>
      </c>
      <c r="J61">
        <f t="shared" ca="1" si="1"/>
        <v>167.31428309849272</v>
      </c>
      <c r="K61">
        <f t="shared" ca="1" si="2"/>
        <v>1.2958606955600955E-2</v>
      </c>
    </row>
    <row r="62" spans="1:11">
      <c r="A62" t="s">
        <v>11</v>
      </c>
      <c r="B62" s="1">
        <v>45050</v>
      </c>
      <c r="C62">
        <v>164.88999938964801</v>
      </c>
      <c r="D62">
        <v>167.03999328613199</v>
      </c>
      <c r="E62">
        <v>164.30999755859301</v>
      </c>
      <c r="F62">
        <v>165.78999328613199</v>
      </c>
      <c r="G62">
        <v>165.78999328613199</v>
      </c>
      <c r="H62">
        <v>81235400</v>
      </c>
      <c r="I62" s="3">
        <f t="shared" si="0"/>
        <v>-9.913429037703092E-3</v>
      </c>
      <c r="J62">
        <f t="shared" ca="1" si="1"/>
        <v>167.60285295758871</v>
      </c>
      <c r="K62">
        <f t="shared" ca="1" si="2"/>
        <v>1.302928449989193E-2</v>
      </c>
    </row>
    <row r="63" spans="1:11">
      <c r="A63" t="s">
        <v>11</v>
      </c>
      <c r="B63" s="1">
        <v>45051</v>
      </c>
      <c r="C63">
        <v>170.97999572753901</v>
      </c>
      <c r="D63">
        <v>174.30000305175699</v>
      </c>
      <c r="E63">
        <v>170.759994506835</v>
      </c>
      <c r="F63">
        <v>173.57000732421801</v>
      </c>
      <c r="G63">
        <v>173.57000732421801</v>
      </c>
      <c r="H63">
        <v>113316400</v>
      </c>
      <c r="I63" s="3">
        <f t="shared" si="0"/>
        <v>4.6926921727167947E-2</v>
      </c>
      <c r="J63">
        <f t="shared" ca="1" si="1"/>
        <v>169.00428336007198</v>
      </c>
      <c r="K63">
        <f t="shared" ca="1" si="2"/>
        <v>2.1345646350231808E-2</v>
      </c>
    </row>
    <row r="64" spans="1:11">
      <c r="A64" t="s">
        <v>12</v>
      </c>
      <c r="B64" s="1">
        <v>44964</v>
      </c>
      <c r="C64">
        <v>103.629997253417</v>
      </c>
      <c r="D64">
        <v>108.669998168945</v>
      </c>
      <c r="E64">
        <v>103.54799652099599</v>
      </c>
      <c r="F64">
        <v>108.040000915527</v>
      </c>
      <c r="G64">
        <v>108.040000915527</v>
      </c>
      <c r="H64">
        <v>33738800</v>
      </c>
      <c r="I64" s="3">
        <f t="shared" si="0"/>
        <v>-0.37754222298490214</v>
      </c>
      <c r="J64">
        <f t="shared" ca="1" si="1"/>
        <v>160.37999725341746</v>
      </c>
      <c r="K64">
        <f t="shared" ca="1" si="2"/>
        <v>0.1459772158029928</v>
      </c>
    </row>
    <row r="65" spans="1:11">
      <c r="A65" t="s">
        <v>12</v>
      </c>
      <c r="B65" s="1">
        <v>44965</v>
      </c>
      <c r="C65">
        <v>102.69000244140599</v>
      </c>
      <c r="D65">
        <v>103.58000183105401</v>
      </c>
      <c r="E65">
        <v>98.455001831054602</v>
      </c>
      <c r="F65">
        <v>100</v>
      </c>
      <c r="G65">
        <v>100</v>
      </c>
      <c r="H65">
        <v>73546000</v>
      </c>
      <c r="I65" s="3">
        <f t="shared" si="0"/>
        <v>-7.441689047941813E-2</v>
      </c>
      <c r="J65">
        <f t="shared" ca="1" si="1"/>
        <v>150.42571258544871</v>
      </c>
      <c r="K65">
        <f t="shared" ca="1" si="2"/>
        <v>0.14391620087492196</v>
      </c>
    </row>
    <row r="66" spans="1:11">
      <c r="A66" t="s">
        <v>12</v>
      </c>
      <c r="B66" s="1">
        <v>44966</v>
      </c>
      <c r="C66">
        <v>100.540000915527</v>
      </c>
      <c r="D66">
        <v>100.61000061035099</v>
      </c>
      <c r="E66">
        <v>93.860000610351506</v>
      </c>
      <c r="F66">
        <v>95.459999084472599</v>
      </c>
      <c r="G66">
        <v>95.459999084472599</v>
      </c>
      <c r="H66">
        <v>97798600</v>
      </c>
      <c r="I66" s="3">
        <f t="shared" si="0"/>
        <v>-4.5400009155273979E-2</v>
      </c>
      <c r="J66">
        <f t="shared" ca="1" si="1"/>
        <v>139.83571297781765</v>
      </c>
      <c r="K66">
        <f t="shared" ca="1" si="2"/>
        <v>0.14174852396920054</v>
      </c>
    </row>
    <row r="67" spans="1:11">
      <c r="A67" t="s">
        <v>12</v>
      </c>
      <c r="B67" s="1">
        <v>44967</v>
      </c>
      <c r="C67">
        <v>95.739997863769503</v>
      </c>
      <c r="D67">
        <v>97.019996643066406</v>
      </c>
      <c r="E67">
        <v>94.529998779296804</v>
      </c>
      <c r="F67">
        <v>94.860000610351506</v>
      </c>
      <c r="G67">
        <v>94.860000610351506</v>
      </c>
      <c r="H67">
        <v>49325300</v>
      </c>
      <c r="I67" s="3">
        <f t="shared" si="0"/>
        <v>-6.2853391983604956E-3</v>
      </c>
      <c r="J67">
        <f t="shared" ca="1" si="1"/>
        <v>129.30999973842046</v>
      </c>
      <c r="K67">
        <f t="shared" ca="1" si="2"/>
        <v>0.14174175009502982</v>
      </c>
    </row>
    <row r="68" spans="1:11">
      <c r="A68" t="s">
        <v>12</v>
      </c>
      <c r="B68" s="1">
        <v>44970</v>
      </c>
      <c r="C68">
        <v>95.010002136230398</v>
      </c>
      <c r="D68">
        <v>95.349998474121094</v>
      </c>
      <c r="E68">
        <v>94.050003051757798</v>
      </c>
      <c r="F68">
        <v>95</v>
      </c>
      <c r="G68">
        <v>95</v>
      </c>
      <c r="H68">
        <v>43116600</v>
      </c>
      <c r="I68" s="3">
        <f t="shared" ref="I68:I131" si="3">(G68/G67)-1</f>
        <v>1.4758527171379043E-3</v>
      </c>
      <c r="J68">
        <f t="shared" ca="1" si="1"/>
        <v>118.96000017438587</v>
      </c>
      <c r="K68">
        <f t="shared" ca="1" si="2"/>
        <v>0.14234310823362234</v>
      </c>
    </row>
    <row r="69" spans="1:11">
      <c r="A69" t="s">
        <v>12</v>
      </c>
      <c r="B69" s="1">
        <v>44971</v>
      </c>
      <c r="C69">
        <v>94.660003662109304</v>
      </c>
      <c r="D69">
        <v>95.175003051757798</v>
      </c>
      <c r="E69">
        <v>92.650001525878906</v>
      </c>
      <c r="F69">
        <v>94.949996948242102</v>
      </c>
      <c r="G69">
        <v>94.949996948242102</v>
      </c>
      <c r="H69">
        <v>42513100</v>
      </c>
      <c r="I69" s="3">
        <f t="shared" si="3"/>
        <v>-5.2634791324102093E-4</v>
      </c>
      <c r="J69">
        <f t="shared" ca="1" si="1"/>
        <v>108.84000069754447</v>
      </c>
      <c r="K69">
        <f t="shared" ca="1" si="2"/>
        <v>0.1430071865068854</v>
      </c>
    </row>
    <row r="70" spans="1:11">
      <c r="A70" t="s">
        <v>12</v>
      </c>
      <c r="B70" s="1">
        <v>44972</v>
      </c>
      <c r="C70">
        <v>94.739997863769503</v>
      </c>
      <c r="D70">
        <v>97.339996337890597</v>
      </c>
      <c r="E70">
        <v>94.360000610351506</v>
      </c>
      <c r="F70">
        <v>97.099998474121094</v>
      </c>
      <c r="G70">
        <v>97.099998474121094</v>
      </c>
      <c r="H70">
        <v>36964500</v>
      </c>
      <c r="I70" s="3">
        <f t="shared" si="3"/>
        <v>2.2643513375266044E-2</v>
      </c>
      <c r="J70">
        <f t="shared" ca="1" si="1"/>
        <v>97.915713718959182</v>
      </c>
      <c r="K70">
        <f t="shared" ca="1" si="2"/>
        <v>0.14010145889469622</v>
      </c>
    </row>
    <row r="71" spans="1:11">
      <c r="A71" t="s">
        <v>12</v>
      </c>
      <c r="B71" s="1">
        <v>44973</v>
      </c>
      <c r="C71">
        <v>95.540000915527301</v>
      </c>
      <c r="D71">
        <v>97.879997253417898</v>
      </c>
      <c r="E71">
        <v>94.970001220703097</v>
      </c>
      <c r="F71">
        <v>95.779998779296804</v>
      </c>
      <c r="G71">
        <v>95.779998779296804</v>
      </c>
      <c r="H71">
        <v>35642100</v>
      </c>
      <c r="I71" s="3">
        <f t="shared" si="3"/>
        <v>-1.3594229820467985E-2</v>
      </c>
      <c r="J71">
        <f t="shared" ca="1" si="1"/>
        <v>96.16428484235486</v>
      </c>
      <c r="K71">
        <f t="shared" ca="1" si="2"/>
        <v>3.2692534792832004E-2</v>
      </c>
    </row>
    <row r="72" spans="1:11">
      <c r="A72" t="s">
        <v>12</v>
      </c>
      <c r="B72" s="1">
        <v>44974</v>
      </c>
      <c r="C72">
        <v>95.069999694824205</v>
      </c>
      <c r="D72">
        <v>95.75</v>
      </c>
      <c r="E72">
        <v>93.449996948242102</v>
      </c>
      <c r="F72">
        <v>94.589996337890597</v>
      </c>
      <c r="G72">
        <v>94.589996337890597</v>
      </c>
      <c r="H72">
        <v>31095100</v>
      </c>
      <c r="I72" s="3">
        <f t="shared" si="3"/>
        <v>-1.2424331348638851E-2</v>
      </c>
      <c r="J72">
        <f t="shared" ca="1" si="1"/>
        <v>95.391427176339235</v>
      </c>
      <c r="K72">
        <f t="shared" ca="1" si="2"/>
        <v>2.0561830394645347E-2</v>
      </c>
    </row>
    <row r="73" spans="1:11">
      <c r="A73" t="s">
        <v>12</v>
      </c>
      <c r="B73" s="1">
        <v>44978</v>
      </c>
      <c r="C73">
        <v>93.239997863769503</v>
      </c>
      <c r="D73">
        <v>93.415000915527301</v>
      </c>
      <c r="E73">
        <v>92</v>
      </c>
      <c r="F73">
        <v>92.050003051757798</v>
      </c>
      <c r="G73">
        <v>92.050003051757798</v>
      </c>
      <c r="H73">
        <v>28367200</v>
      </c>
      <c r="I73" s="3">
        <f t="shared" si="3"/>
        <v>-2.6852662908026126E-2</v>
      </c>
      <c r="J73">
        <f t="shared" ref="J73:J136" ca="1" si="4">AVERAGE(OFFSET(G73,-6,0,7,1))</f>
        <v>94.904284885951412</v>
      </c>
      <c r="K73">
        <f t="shared" ref="K73:K136" ca="1" si="5">STDEV(OFFSET(I73,-6,0,7,1))</f>
        <v>1.5460924666899259E-2</v>
      </c>
    </row>
    <row r="74" spans="1:11">
      <c r="A74" t="s">
        <v>12</v>
      </c>
      <c r="B74" s="1">
        <v>44979</v>
      </c>
      <c r="C74">
        <v>91.933998107910099</v>
      </c>
      <c r="D74">
        <v>92.360000610351506</v>
      </c>
      <c r="E74">
        <v>90.870002746582003</v>
      </c>
      <c r="F74">
        <v>91.800003051757798</v>
      </c>
      <c r="G74">
        <v>91.800003051757798</v>
      </c>
      <c r="H74">
        <v>29891100</v>
      </c>
      <c r="I74" s="3">
        <f t="shared" si="3"/>
        <v>-2.7159151734023057E-3</v>
      </c>
      <c r="J74">
        <f t="shared" ca="1" si="4"/>
        <v>94.467142377580885</v>
      </c>
      <c r="K74">
        <f t="shared" ca="1" si="5"/>
        <v>1.5473421872571586E-2</v>
      </c>
    </row>
    <row r="75" spans="1:11">
      <c r="A75" t="s">
        <v>12</v>
      </c>
      <c r="B75" s="1">
        <v>44980</v>
      </c>
      <c r="C75">
        <v>92.129997253417898</v>
      </c>
      <c r="D75">
        <v>92.129997253417898</v>
      </c>
      <c r="E75">
        <v>90.010002136230398</v>
      </c>
      <c r="F75">
        <v>91.069999694824205</v>
      </c>
      <c r="G75">
        <v>91.069999694824205</v>
      </c>
      <c r="H75">
        <v>32423700</v>
      </c>
      <c r="I75" s="3">
        <f t="shared" si="3"/>
        <v>-7.9521060203234795E-3</v>
      </c>
      <c r="J75">
        <f t="shared" ca="1" si="4"/>
        <v>93.905713762555777</v>
      </c>
      <c r="K75">
        <f t="shared" ca="1" si="5"/>
        <v>1.5268365191909003E-2</v>
      </c>
    </row>
    <row r="76" spans="1:11">
      <c r="A76" t="s">
        <v>12</v>
      </c>
      <c r="B76" s="1">
        <v>44981</v>
      </c>
      <c r="C76">
        <v>89.629997253417898</v>
      </c>
      <c r="D76">
        <v>90.129997253417898</v>
      </c>
      <c r="E76">
        <v>88.860000610351506</v>
      </c>
      <c r="F76">
        <v>89.349998474121094</v>
      </c>
      <c r="G76">
        <v>89.349998474121094</v>
      </c>
      <c r="H76">
        <v>31295600</v>
      </c>
      <c r="I76" s="3">
        <f t="shared" si="3"/>
        <v>-1.8886584237035708E-2</v>
      </c>
      <c r="J76">
        <f t="shared" ca="1" si="4"/>
        <v>93.105713980538482</v>
      </c>
      <c r="K76">
        <f t="shared" ca="1" si="5"/>
        <v>1.5757092510564816E-2</v>
      </c>
    </row>
    <row r="77" spans="1:11">
      <c r="A77" t="s">
        <v>12</v>
      </c>
      <c r="B77" s="1">
        <v>44984</v>
      </c>
      <c r="C77">
        <v>90.089996337890597</v>
      </c>
      <c r="D77">
        <v>90.449996948242102</v>
      </c>
      <c r="E77">
        <v>89.610000610351506</v>
      </c>
      <c r="F77">
        <v>90.099998474121094</v>
      </c>
      <c r="G77">
        <v>90.099998474121094</v>
      </c>
      <c r="H77">
        <v>22724300</v>
      </c>
      <c r="I77" s="3">
        <f t="shared" si="3"/>
        <v>8.3939564947752565E-3</v>
      </c>
      <c r="J77">
        <f t="shared" ca="1" si="4"/>
        <v>92.105713980538482</v>
      </c>
      <c r="K77">
        <f t="shared" ca="1" si="5"/>
        <v>1.136549315776457E-2</v>
      </c>
    </row>
    <row r="78" spans="1:11">
      <c r="A78" t="s">
        <v>12</v>
      </c>
      <c r="B78" s="1">
        <v>44985</v>
      </c>
      <c r="C78">
        <v>89.540000915527301</v>
      </c>
      <c r="D78">
        <v>91.449996948242102</v>
      </c>
      <c r="E78">
        <v>89.519996643066406</v>
      </c>
      <c r="F78">
        <v>90.300003051757798</v>
      </c>
      <c r="G78">
        <v>90.300003051757798</v>
      </c>
      <c r="H78">
        <v>30546900</v>
      </c>
      <c r="I78" s="3">
        <f t="shared" si="3"/>
        <v>2.2198066706311526E-3</v>
      </c>
      <c r="J78">
        <f t="shared" ca="1" si="4"/>
        <v>91.32285744803292</v>
      </c>
      <c r="K78">
        <f t="shared" ca="1" si="5"/>
        <v>1.220616471046204E-2</v>
      </c>
    </row>
    <row r="79" spans="1:11">
      <c r="A79" t="s">
        <v>12</v>
      </c>
      <c r="B79" s="1">
        <v>44986</v>
      </c>
      <c r="C79">
        <v>90.160003662109304</v>
      </c>
      <c r="D79">
        <v>91.199996948242102</v>
      </c>
      <c r="E79">
        <v>89.849998474121094</v>
      </c>
      <c r="F79">
        <v>90.510002136230398</v>
      </c>
      <c r="G79">
        <v>90.510002136230398</v>
      </c>
      <c r="H79">
        <v>26323900</v>
      </c>
      <c r="I79" s="3">
        <f t="shared" si="3"/>
        <v>2.3255711780234556E-3</v>
      </c>
      <c r="J79">
        <f t="shared" ca="1" si="4"/>
        <v>90.740001133510006</v>
      </c>
      <c r="K79">
        <f t="shared" ca="1" si="5"/>
        <v>1.264418207810355E-2</v>
      </c>
    </row>
    <row r="80" spans="1:11">
      <c r="A80" t="s">
        <v>12</v>
      </c>
      <c r="B80" s="1">
        <v>44987</v>
      </c>
      <c r="C80">
        <v>89.860000610351506</v>
      </c>
      <c r="D80">
        <v>92.480003356933594</v>
      </c>
      <c r="E80">
        <v>89.769996643066406</v>
      </c>
      <c r="F80">
        <v>92.309997558593693</v>
      </c>
      <c r="G80">
        <v>92.309997558593693</v>
      </c>
      <c r="H80">
        <v>23328600</v>
      </c>
      <c r="I80" s="3">
        <f t="shared" si="3"/>
        <v>1.9887254224721485E-2</v>
      </c>
      <c r="J80">
        <f t="shared" ca="1" si="4"/>
        <v>90.777143205915152</v>
      </c>
      <c r="K80">
        <f t="shared" ca="1" si="5"/>
        <v>1.2261613870140412E-2</v>
      </c>
    </row>
    <row r="81" spans="1:11">
      <c r="A81" t="s">
        <v>12</v>
      </c>
      <c r="B81" s="1">
        <v>44988</v>
      </c>
      <c r="C81">
        <v>92.739997863769503</v>
      </c>
      <c r="D81">
        <v>94.110000610351506</v>
      </c>
      <c r="E81">
        <v>92.660003662109304</v>
      </c>
      <c r="F81">
        <v>94.019996643066406</v>
      </c>
      <c r="G81">
        <v>94.019996643066406</v>
      </c>
      <c r="H81">
        <v>30242500</v>
      </c>
      <c r="I81" s="3">
        <f t="shared" si="3"/>
        <v>1.8524527458548601E-2</v>
      </c>
      <c r="J81">
        <f t="shared" ca="1" si="4"/>
        <v>91.09428514753067</v>
      </c>
      <c r="K81">
        <f t="shared" ca="1" si="5"/>
        <v>1.3865769473870141E-2</v>
      </c>
    </row>
    <row r="82" spans="1:11">
      <c r="A82" t="s">
        <v>12</v>
      </c>
      <c r="B82" s="1">
        <v>44991</v>
      </c>
      <c r="C82">
        <v>94.360000610351506</v>
      </c>
      <c r="D82">
        <v>96.300003051757798</v>
      </c>
      <c r="E82">
        <v>94.300003051757798</v>
      </c>
      <c r="F82">
        <v>95.580001831054602</v>
      </c>
      <c r="G82">
        <v>95.580001831054602</v>
      </c>
      <c r="H82">
        <v>28288200</v>
      </c>
      <c r="I82" s="3">
        <f t="shared" si="3"/>
        <v>1.6592270194504932E-2</v>
      </c>
      <c r="J82">
        <f t="shared" ca="1" si="4"/>
        <v>91.738571166992159</v>
      </c>
      <c r="K82">
        <f t="shared" ca="1" si="5"/>
        <v>1.3587163871368569E-2</v>
      </c>
    </row>
    <row r="83" spans="1:11">
      <c r="A83" t="s">
        <v>12</v>
      </c>
      <c r="B83" s="1">
        <v>44992</v>
      </c>
      <c r="C83">
        <v>95.419998168945298</v>
      </c>
      <c r="D83">
        <v>96.089996337890597</v>
      </c>
      <c r="E83">
        <v>93.844001770019503</v>
      </c>
      <c r="F83">
        <v>94.169998168945298</v>
      </c>
      <c r="G83">
        <v>94.169998168945298</v>
      </c>
      <c r="H83">
        <v>24101500</v>
      </c>
      <c r="I83" s="3">
        <f t="shared" si="3"/>
        <v>-1.4752078207757258E-2</v>
      </c>
      <c r="J83">
        <f t="shared" ca="1" si="4"/>
        <v>92.427142551967037</v>
      </c>
      <c r="K83">
        <f t="shared" ca="1" si="5"/>
        <v>1.2303080073802168E-2</v>
      </c>
    </row>
    <row r="84" spans="1:11">
      <c r="A84" t="s">
        <v>12</v>
      </c>
      <c r="B84" s="1">
        <v>44993</v>
      </c>
      <c r="C84">
        <v>94.404998779296804</v>
      </c>
      <c r="D84">
        <v>96.239997863769503</v>
      </c>
      <c r="E84">
        <v>94.404998779296804</v>
      </c>
      <c r="F84">
        <v>94.650001525878906</v>
      </c>
      <c r="G84">
        <v>94.650001525878906</v>
      </c>
      <c r="H84">
        <v>25395200</v>
      </c>
      <c r="I84" s="3">
        <f t="shared" si="3"/>
        <v>5.0972004488356593E-3</v>
      </c>
      <c r="J84">
        <f t="shared" ca="1" si="4"/>
        <v>93.077142987932447</v>
      </c>
      <c r="K84">
        <f t="shared" ca="1" si="5"/>
        <v>1.2330635763838865E-2</v>
      </c>
    </row>
    <row r="85" spans="1:11">
      <c r="A85" t="s">
        <v>12</v>
      </c>
      <c r="B85" s="1">
        <v>44994</v>
      </c>
      <c r="C85">
        <v>94.489997863769503</v>
      </c>
      <c r="D85">
        <v>95.919998168945298</v>
      </c>
      <c r="E85">
        <v>92.355003356933594</v>
      </c>
      <c r="F85">
        <v>92.660003662109304</v>
      </c>
      <c r="G85">
        <v>92.660003662109304</v>
      </c>
      <c r="H85">
        <v>24438900</v>
      </c>
      <c r="I85" s="3">
        <f t="shared" si="3"/>
        <v>-2.1024805406109848E-2</v>
      </c>
      <c r="J85">
        <f t="shared" ca="1" si="4"/>
        <v>93.414285932268371</v>
      </c>
      <c r="K85">
        <f t="shared" ca="1" si="5"/>
        <v>1.6348091205838154E-2</v>
      </c>
    </row>
    <row r="86" spans="1:11">
      <c r="A86" t="s">
        <v>12</v>
      </c>
      <c r="B86" s="1">
        <v>44995</v>
      </c>
      <c r="C86">
        <v>92.5</v>
      </c>
      <c r="D86">
        <v>93.180000305175696</v>
      </c>
      <c r="E86">
        <v>90.800003051757798</v>
      </c>
      <c r="F86">
        <v>91.010002136230398</v>
      </c>
      <c r="G86">
        <v>91.010002136230398</v>
      </c>
      <c r="H86">
        <v>32850100</v>
      </c>
      <c r="I86" s="3">
        <f t="shared" si="3"/>
        <v>-1.7807052241177845E-2</v>
      </c>
      <c r="J86">
        <f t="shared" ca="1" si="4"/>
        <v>93.48571450369694</v>
      </c>
      <c r="K86">
        <f t="shared" ca="1" si="5"/>
        <v>1.8305897628144038E-2</v>
      </c>
    </row>
    <row r="87" spans="1:11">
      <c r="A87" t="s">
        <v>12</v>
      </c>
      <c r="B87" s="1">
        <v>44998</v>
      </c>
      <c r="C87">
        <v>90.565002441406193</v>
      </c>
      <c r="D87">
        <v>93.080001831054602</v>
      </c>
      <c r="E87">
        <v>89.940002441406193</v>
      </c>
      <c r="F87">
        <v>91.660003662109304</v>
      </c>
      <c r="G87">
        <v>91.660003662109304</v>
      </c>
      <c r="H87">
        <v>31508600</v>
      </c>
      <c r="I87" s="3">
        <f t="shared" si="3"/>
        <v>7.1420888981623687E-3</v>
      </c>
      <c r="J87">
        <f t="shared" ca="1" si="4"/>
        <v>93.392858232770593</v>
      </c>
      <c r="K87">
        <f t="shared" ca="1" si="5"/>
        <v>1.6666677961952019E-2</v>
      </c>
    </row>
    <row r="88" spans="1:11">
      <c r="A88" t="s">
        <v>12</v>
      </c>
      <c r="B88" s="1">
        <v>44999</v>
      </c>
      <c r="C88">
        <v>93.069999694824205</v>
      </c>
      <c r="D88">
        <v>94.830001831054602</v>
      </c>
      <c r="E88">
        <v>92.779998779296804</v>
      </c>
      <c r="F88">
        <v>94.25</v>
      </c>
      <c r="G88">
        <v>94.25</v>
      </c>
      <c r="H88">
        <v>32303900</v>
      </c>
      <c r="I88" s="3">
        <f t="shared" si="3"/>
        <v>2.8256559397906278E-2</v>
      </c>
      <c r="J88">
        <f t="shared" ca="1" si="4"/>
        <v>93.425715855189679</v>
      </c>
      <c r="K88">
        <f t="shared" ca="1" si="5"/>
        <v>1.882255138217731E-2</v>
      </c>
    </row>
    <row r="89" spans="1:11">
      <c r="A89" t="s">
        <v>12</v>
      </c>
      <c r="B89" s="1">
        <v>45000</v>
      </c>
      <c r="C89">
        <v>93.540000915527301</v>
      </c>
      <c r="D89">
        <v>97.25</v>
      </c>
      <c r="E89">
        <v>93.040000915527301</v>
      </c>
      <c r="F89">
        <v>96.550003051757798</v>
      </c>
      <c r="G89">
        <v>96.550003051757798</v>
      </c>
      <c r="H89">
        <v>38367300</v>
      </c>
      <c r="I89" s="3">
        <f t="shared" si="3"/>
        <v>2.4403215403265843E-2</v>
      </c>
      <c r="J89">
        <f t="shared" ca="1" si="4"/>
        <v>93.564287458147291</v>
      </c>
      <c r="K89">
        <f t="shared" ca="1" si="5"/>
        <v>2.0122160323722944E-2</v>
      </c>
    </row>
    <row r="90" spans="1:11">
      <c r="A90" t="s">
        <v>12</v>
      </c>
      <c r="B90" s="1">
        <v>45001</v>
      </c>
      <c r="C90">
        <v>96.569999694824205</v>
      </c>
      <c r="D90">
        <v>101.970001220703</v>
      </c>
      <c r="E90">
        <v>95.870002746582003</v>
      </c>
      <c r="F90">
        <v>101.06999969482401</v>
      </c>
      <c r="G90">
        <v>101.06999969482401</v>
      </c>
      <c r="H90">
        <v>54499500</v>
      </c>
      <c r="I90" s="3">
        <f t="shared" si="3"/>
        <v>4.6815085450004235E-2</v>
      </c>
      <c r="J90">
        <f t="shared" ca="1" si="4"/>
        <v>94.550001961844245</v>
      </c>
      <c r="K90">
        <f t="shared" ca="1" si="5"/>
        <v>2.4707941013786244E-2</v>
      </c>
    </row>
    <row r="91" spans="1:11">
      <c r="A91" t="s">
        <v>12</v>
      </c>
      <c r="B91" s="1">
        <v>45002</v>
      </c>
      <c r="C91">
        <v>100.83999633789</v>
      </c>
      <c r="D91">
        <v>103.48999786376901</v>
      </c>
      <c r="E91">
        <v>100.75</v>
      </c>
      <c r="F91">
        <v>102.459999084472</v>
      </c>
      <c r="G91">
        <v>102.459999084472</v>
      </c>
      <c r="H91">
        <v>76140300</v>
      </c>
      <c r="I91" s="3">
        <f t="shared" si="3"/>
        <v>1.3752838565796344E-2</v>
      </c>
      <c r="J91">
        <f t="shared" ca="1" si="4"/>
        <v>95.665715898786104</v>
      </c>
      <c r="K91">
        <f t="shared" ca="1" si="5"/>
        <v>2.4614052760076537E-2</v>
      </c>
    </row>
    <row r="92" spans="1:11">
      <c r="A92" t="s">
        <v>12</v>
      </c>
      <c r="B92" s="1">
        <v>45005</v>
      </c>
      <c r="C92">
        <v>101.059997558593</v>
      </c>
      <c r="D92">
        <v>102.58000183105401</v>
      </c>
      <c r="E92">
        <v>100.790000915527</v>
      </c>
      <c r="F92">
        <v>101.930000305175</v>
      </c>
      <c r="G92">
        <v>101.930000305175</v>
      </c>
      <c r="H92">
        <v>26033900</v>
      </c>
      <c r="I92" s="3">
        <f t="shared" si="3"/>
        <v>-5.172738473870675E-3</v>
      </c>
      <c r="J92">
        <f t="shared" ca="1" si="4"/>
        <v>96.990001133509779</v>
      </c>
      <c r="K92">
        <f t="shared" ca="1" si="5"/>
        <v>2.1658822522372875E-2</v>
      </c>
    </row>
    <row r="93" spans="1:11">
      <c r="A93" t="s">
        <v>12</v>
      </c>
      <c r="B93" s="1">
        <v>45006</v>
      </c>
      <c r="C93">
        <v>101.980003356933</v>
      </c>
      <c r="D93">
        <v>105.959999084472</v>
      </c>
      <c r="E93">
        <v>101.86000061035099</v>
      </c>
      <c r="F93">
        <v>105.83999633789</v>
      </c>
      <c r="G93">
        <v>105.83999633789</v>
      </c>
      <c r="H93">
        <v>33122800</v>
      </c>
      <c r="I93" s="3">
        <f t="shared" si="3"/>
        <v>3.8359619552718494E-2</v>
      </c>
      <c r="J93">
        <f t="shared" ca="1" si="4"/>
        <v>99.108571733746885</v>
      </c>
      <c r="K93">
        <f t="shared" ca="1" si="5"/>
        <v>1.8052924187269052E-2</v>
      </c>
    </row>
    <row r="94" spans="1:11">
      <c r="A94" t="s">
        <v>12</v>
      </c>
      <c r="B94" s="1">
        <v>45007</v>
      </c>
      <c r="C94">
        <v>105.139999389648</v>
      </c>
      <c r="D94">
        <v>107.51000213623</v>
      </c>
      <c r="E94">
        <v>104.209999084472</v>
      </c>
      <c r="F94">
        <v>104.220001220703</v>
      </c>
      <c r="G94">
        <v>104.220001220703</v>
      </c>
      <c r="H94">
        <v>32336900</v>
      </c>
      <c r="I94" s="3">
        <f t="shared" si="3"/>
        <v>-1.5306076844666894E-2</v>
      </c>
      <c r="J94">
        <f t="shared" ca="1" si="4"/>
        <v>100.90285709926026</v>
      </c>
      <c r="K94">
        <f t="shared" ca="1" si="5"/>
        <v>2.2552170127065105E-2</v>
      </c>
    </row>
    <row r="95" spans="1:11">
      <c r="A95" t="s">
        <v>12</v>
      </c>
      <c r="B95" s="1">
        <v>45008</v>
      </c>
      <c r="C95">
        <v>105.889999389648</v>
      </c>
      <c r="D95">
        <v>107.10099792480401</v>
      </c>
      <c r="E95">
        <v>105.41000366210901</v>
      </c>
      <c r="F95">
        <v>106.26000213623</v>
      </c>
      <c r="G95">
        <v>106.26000213623</v>
      </c>
      <c r="H95">
        <v>31385800</v>
      </c>
      <c r="I95" s="3">
        <f t="shared" si="3"/>
        <v>1.9573986678497191E-2</v>
      </c>
      <c r="J95">
        <f t="shared" ca="1" si="4"/>
        <v>102.61857169015025</v>
      </c>
      <c r="K95">
        <f t="shared" ca="1" si="5"/>
        <v>2.2176511407977703E-2</v>
      </c>
    </row>
    <row r="96" spans="1:11">
      <c r="A96" t="s">
        <v>12</v>
      </c>
      <c r="B96" s="1">
        <v>45009</v>
      </c>
      <c r="C96">
        <v>105.73999786376901</v>
      </c>
      <c r="D96">
        <v>106.16000366210901</v>
      </c>
      <c r="E96">
        <v>104.73999786376901</v>
      </c>
      <c r="F96">
        <v>106.059997558593</v>
      </c>
      <c r="G96">
        <v>106.059997558593</v>
      </c>
      <c r="H96">
        <v>25245000</v>
      </c>
      <c r="I96" s="3">
        <f t="shared" si="3"/>
        <v>-1.8822188369673754E-3</v>
      </c>
      <c r="J96">
        <f t="shared" ca="1" si="4"/>
        <v>103.97714233398385</v>
      </c>
      <c r="K96">
        <f t="shared" ca="1" si="5"/>
        <v>2.3020071911775117E-2</v>
      </c>
    </row>
    <row r="97" spans="1:11">
      <c r="A97" t="s">
        <v>12</v>
      </c>
      <c r="B97" s="1">
        <v>45012</v>
      </c>
      <c r="C97">
        <v>105.31999969482401</v>
      </c>
      <c r="D97">
        <v>105.400001525878</v>
      </c>
      <c r="E97">
        <v>102.629997253417</v>
      </c>
      <c r="F97">
        <v>103.059997558593</v>
      </c>
      <c r="G97">
        <v>103.059997558593</v>
      </c>
      <c r="H97">
        <v>25393400</v>
      </c>
      <c r="I97" s="3">
        <f t="shared" si="3"/>
        <v>-2.8285876570406709E-2</v>
      </c>
      <c r="J97">
        <f t="shared" ca="1" si="4"/>
        <v>104.26142774309371</v>
      </c>
      <c r="K97">
        <f t="shared" ca="1" si="5"/>
        <v>2.2528394233472086E-2</v>
      </c>
    </row>
    <row r="98" spans="1:11">
      <c r="A98" t="s">
        <v>12</v>
      </c>
      <c r="B98" s="1">
        <v>45013</v>
      </c>
      <c r="C98">
        <v>103</v>
      </c>
      <c r="D98">
        <v>103</v>
      </c>
      <c r="E98">
        <v>100.27999877929599</v>
      </c>
      <c r="F98">
        <v>101.36000061035099</v>
      </c>
      <c r="G98">
        <v>101.36000061035099</v>
      </c>
      <c r="H98">
        <v>24913500</v>
      </c>
      <c r="I98" s="3">
        <f t="shared" si="3"/>
        <v>-1.6495216267354396E-2</v>
      </c>
      <c r="J98">
        <f t="shared" ca="1" si="4"/>
        <v>104.10428510393356</v>
      </c>
      <c r="K98">
        <f t="shared" ca="1" si="5"/>
        <v>2.3019001074661101E-2</v>
      </c>
    </row>
    <row r="99" spans="1:11">
      <c r="A99" t="s">
        <v>12</v>
      </c>
      <c r="B99" s="1">
        <v>45014</v>
      </c>
      <c r="C99">
        <v>102.720001220703</v>
      </c>
      <c r="D99">
        <v>102.81999969482401</v>
      </c>
      <c r="E99">
        <v>101.02999877929599</v>
      </c>
      <c r="F99">
        <v>101.900001525878</v>
      </c>
      <c r="G99">
        <v>101.900001525878</v>
      </c>
      <c r="H99">
        <v>26148300</v>
      </c>
      <c r="I99" s="3">
        <f t="shared" si="3"/>
        <v>5.3275543831425853E-3</v>
      </c>
      <c r="J99">
        <f t="shared" ca="1" si="4"/>
        <v>104.09999956403399</v>
      </c>
      <c r="K99">
        <f t="shared" ca="1" si="5"/>
        <v>2.3067825823894383E-2</v>
      </c>
    </row>
    <row r="100" spans="1:11">
      <c r="A100" t="s">
        <v>12</v>
      </c>
      <c r="B100" s="1">
        <v>45015</v>
      </c>
      <c r="C100">
        <v>101.44000244140599</v>
      </c>
      <c r="D100">
        <v>101.61000061035099</v>
      </c>
      <c r="E100">
        <v>100.290000915527</v>
      </c>
      <c r="F100">
        <v>101.31999969482401</v>
      </c>
      <c r="G100">
        <v>101.31999969482401</v>
      </c>
      <c r="H100">
        <v>25009800</v>
      </c>
      <c r="I100" s="3">
        <f t="shared" si="3"/>
        <v>-5.6918726434630473E-3</v>
      </c>
      <c r="J100">
        <f t="shared" ca="1" si="4"/>
        <v>103.45428575788171</v>
      </c>
      <c r="K100">
        <f t="shared" ca="1" si="5"/>
        <v>1.5772992840291811E-2</v>
      </c>
    </row>
    <row r="101" spans="1:11">
      <c r="A101" t="s">
        <v>12</v>
      </c>
      <c r="B101" s="1">
        <v>45016</v>
      </c>
      <c r="C101">
        <v>101.709999084472</v>
      </c>
      <c r="D101">
        <v>104.19000244140599</v>
      </c>
      <c r="E101">
        <v>101.44000244140599</v>
      </c>
      <c r="F101">
        <v>104</v>
      </c>
      <c r="G101">
        <v>104</v>
      </c>
      <c r="H101">
        <v>28086500</v>
      </c>
      <c r="I101" s="3">
        <f t="shared" si="3"/>
        <v>2.6450851887565685E-2</v>
      </c>
      <c r="J101">
        <f t="shared" ca="1" si="4"/>
        <v>103.422857012067</v>
      </c>
      <c r="K101">
        <f t="shared" ca="1" si="5"/>
        <v>1.9231704877562723E-2</v>
      </c>
    </row>
    <row r="102" spans="1:11">
      <c r="A102" t="s">
        <v>12</v>
      </c>
      <c r="B102" s="1">
        <v>45019</v>
      </c>
      <c r="C102">
        <v>102.669998168945</v>
      </c>
      <c r="D102">
        <v>104.949996948242</v>
      </c>
      <c r="E102">
        <v>102.379997253417</v>
      </c>
      <c r="F102">
        <v>104.91000366210901</v>
      </c>
      <c r="G102">
        <v>104.91000366210901</v>
      </c>
      <c r="H102">
        <v>20719900</v>
      </c>
      <c r="I102" s="3">
        <f t="shared" si="3"/>
        <v>8.7500352125866598E-3</v>
      </c>
      <c r="J102">
        <f t="shared" ca="1" si="4"/>
        <v>103.23000008719258</v>
      </c>
      <c r="K102">
        <f t="shared" ca="1" si="5"/>
        <v>1.7761076169581051E-2</v>
      </c>
    </row>
    <row r="103" spans="1:11">
      <c r="A103" t="s">
        <v>12</v>
      </c>
      <c r="B103" s="1">
        <v>45020</v>
      </c>
      <c r="C103">
        <v>104.83999633789</v>
      </c>
      <c r="D103">
        <v>106.09999847412099</v>
      </c>
      <c r="E103">
        <v>104.59999847412099</v>
      </c>
      <c r="F103">
        <v>105.120002746582</v>
      </c>
      <c r="G103">
        <v>105.120002746582</v>
      </c>
      <c r="H103">
        <v>20377200</v>
      </c>
      <c r="I103" s="3">
        <f t="shared" si="3"/>
        <v>2.0017069597038084E-3</v>
      </c>
      <c r="J103">
        <f t="shared" ca="1" si="4"/>
        <v>103.09571511404815</v>
      </c>
      <c r="K103">
        <f t="shared" ca="1" si="5"/>
        <v>1.7814638714421818E-2</v>
      </c>
    </row>
    <row r="104" spans="1:11">
      <c r="A104" t="s">
        <v>12</v>
      </c>
      <c r="B104" s="1">
        <v>45021</v>
      </c>
      <c r="C104">
        <v>106.120002746582</v>
      </c>
      <c r="D104">
        <v>106.540000915527</v>
      </c>
      <c r="E104">
        <v>104.101997375488</v>
      </c>
      <c r="F104">
        <v>104.949996948242</v>
      </c>
      <c r="G104">
        <v>104.949996948242</v>
      </c>
      <c r="H104">
        <v>21864200</v>
      </c>
      <c r="I104" s="3">
        <f t="shared" si="3"/>
        <v>-1.6172545081628575E-3</v>
      </c>
      <c r="J104">
        <f t="shared" ca="1" si="4"/>
        <v>103.36571502685514</v>
      </c>
      <c r="K104">
        <f t="shared" ca="1" si="5"/>
        <v>1.3326738487758375E-2</v>
      </c>
    </row>
    <row r="105" spans="1:11">
      <c r="A105" t="s">
        <v>12</v>
      </c>
      <c r="B105" s="1">
        <v>45022</v>
      </c>
      <c r="C105">
        <v>105.76999664306599</v>
      </c>
      <c r="D105">
        <v>109.629997253417</v>
      </c>
      <c r="E105">
        <v>104.81500244140599</v>
      </c>
      <c r="F105">
        <v>108.900001525878</v>
      </c>
      <c r="G105">
        <v>108.900001525878</v>
      </c>
      <c r="H105">
        <v>34684200</v>
      </c>
      <c r="I105" s="3">
        <f t="shared" si="3"/>
        <v>3.7637014697427862E-2</v>
      </c>
      <c r="J105">
        <f t="shared" ca="1" si="4"/>
        <v>104.44285801478757</v>
      </c>
      <c r="K105">
        <f t="shared" ca="1" si="5"/>
        <v>1.5821033047761848E-2</v>
      </c>
    </row>
    <row r="106" spans="1:11">
      <c r="A106" t="s">
        <v>12</v>
      </c>
      <c r="B106" s="1">
        <v>45026</v>
      </c>
      <c r="C106">
        <v>107.389999389648</v>
      </c>
      <c r="D106">
        <v>107.970001220703</v>
      </c>
      <c r="E106">
        <v>105.59999847412099</v>
      </c>
      <c r="F106">
        <v>106.949996948242</v>
      </c>
      <c r="G106">
        <v>106.949996948242</v>
      </c>
      <c r="H106">
        <v>19741500</v>
      </c>
      <c r="I106" s="3">
        <f t="shared" si="3"/>
        <v>-1.7906377872479728E-2</v>
      </c>
      <c r="J106">
        <f t="shared" ca="1" si="4"/>
        <v>105.16428593226814</v>
      </c>
      <c r="K106">
        <f t="shared" ca="1" si="5"/>
        <v>1.9151242722205364E-2</v>
      </c>
    </row>
    <row r="107" spans="1:11">
      <c r="A107" t="s">
        <v>12</v>
      </c>
      <c r="B107" s="1">
        <v>45027</v>
      </c>
      <c r="C107">
        <v>106.919998168945</v>
      </c>
      <c r="D107">
        <v>107.220001220703</v>
      </c>
      <c r="E107">
        <v>105.27999877929599</v>
      </c>
      <c r="F107">
        <v>106.120002746582</v>
      </c>
      <c r="G107">
        <v>106.120002746582</v>
      </c>
      <c r="H107">
        <v>18721300</v>
      </c>
      <c r="I107" s="3">
        <f t="shared" si="3"/>
        <v>-7.7605818171427865E-3</v>
      </c>
      <c r="J107">
        <f t="shared" ca="1" si="4"/>
        <v>105.85000065394786</v>
      </c>
      <c r="K107">
        <f t="shared" ca="1" si="5"/>
        <v>1.9395743727421727E-2</v>
      </c>
    </row>
    <row r="108" spans="1:11">
      <c r="A108" t="s">
        <v>12</v>
      </c>
      <c r="B108" s="1">
        <v>45028</v>
      </c>
      <c r="C108">
        <v>107.389999389648</v>
      </c>
      <c r="D108">
        <v>107.58699798583901</v>
      </c>
      <c r="E108">
        <v>104.970001220703</v>
      </c>
      <c r="F108">
        <v>105.220001220703</v>
      </c>
      <c r="G108">
        <v>105.220001220703</v>
      </c>
      <c r="H108">
        <v>22761600</v>
      </c>
      <c r="I108" s="3">
        <f t="shared" si="3"/>
        <v>-8.4809791046485117E-3</v>
      </c>
      <c r="J108">
        <f t="shared" ca="1" si="4"/>
        <v>106.02428654261972</v>
      </c>
      <c r="K108">
        <f t="shared" ca="1" si="5"/>
        <v>1.7933940966392111E-2</v>
      </c>
    </row>
    <row r="109" spans="1:11">
      <c r="A109" t="s">
        <v>12</v>
      </c>
      <c r="B109" s="1">
        <v>45029</v>
      </c>
      <c r="C109">
        <v>106.470001220703</v>
      </c>
      <c r="D109">
        <v>108.264999389648</v>
      </c>
      <c r="E109">
        <v>106.44000244140599</v>
      </c>
      <c r="F109">
        <v>108.19000244140599</v>
      </c>
      <c r="G109">
        <v>108.19000244140599</v>
      </c>
      <c r="H109">
        <v>21650700</v>
      </c>
      <c r="I109" s="3">
        <f t="shared" si="3"/>
        <v>2.8226584168853153E-2</v>
      </c>
      <c r="J109">
        <f t="shared" ca="1" si="4"/>
        <v>106.492857796805</v>
      </c>
      <c r="K109">
        <f t="shared" ca="1" si="5"/>
        <v>2.0516240789204002E-2</v>
      </c>
    </row>
    <row r="110" spans="1:11">
      <c r="A110" t="s">
        <v>12</v>
      </c>
      <c r="B110" s="1">
        <v>45030</v>
      </c>
      <c r="C110">
        <v>107.69000244140599</v>
      </c>
      <c r="D110">
        <v>109.58000183105401</v>
      </c>
      <c r="E110">
        <v>107.58999633789</v>
      </c>
      <c r="F110">
        <v>109.459999084472</v>
      </c>
      <c r="G110">
        <v>109.459999084472</v>
      </c>
      <c r="H110">
        <v>20745400</v>
      </c>
      <c r="I110" s="3">
        <f t="shared" si="3"/>
        <v>1.1738576711409321E-2</v>
      </c>
      <c r="J110">
        <f t="shared" ca="1" si="4"/>
        <v>107.11285727364644</v>
      </c>
      <c r="K110">
        <f t="shared" ca="1" si="5"/>
        <v>2.0641540018676064E-2</v>
      </c>
    </row>
    <row r="111" spans="1:11">
      <c r="A111" t="s">
        <v>12</v>
      </c>
      <c r="B111" s="1">
        <v>45033</v>
      </c>
      <c r="C111">
        <v>105.430000305175</v>
      </c>
      <c r="D111">
        <v>106.709999084472</v>
      </c>
      <c r="E111">
        <v>105.31999969482401</v>
      </c>
      <c r="F111">
        <v>106.419998168945</v>
      </c>
      <c r="G111">
        <v>106.419998168945</v>
      </c>
      <c r="H111">
        <v>29043400</v>
      </c>
      <c r="I111" s="3">
        <f t="shared" si="3"/>
        <v>-2.7772710953350099E-2</v>
      </c>
      <c r="J111">
        <f t="shared" ca="1" si="4"/>
        <v>107.32285744803256</v>
      </c>
      <c r="K111">
        <f t="shared" ca="1" si="5"/>
        <v>2.4290137076800347E-2</v>
      </c>
    </row>
    <row r="112" spans="1:11">
      <c r="A112" t="s">
        <v>12</v>
      </c>
      <c r="B112" s="1">
        <v>45034</v>
      </c>
      <c r="C112">
        <v>107</v>
      </c>
      <c r="D112">
        <v>107.050003051757</v>
      </c>
      <c r="E112">
        <v>104.77999877929599</v>
      </c>
      <c r="F112">
        <v>105.120002746582</v>
      </c>
      <c r="G112">
        <v>105.120002746582</v>
      </c>
      <c r="H112">
        <v>17641400</v>
      </c>
      <c r="I112" s="3">
        <f t="shared" si="3"/>
        <v>-1.2215706114739988E-2</v>
      </c>
      <c r="J112">
        <f t="shared" ca="1" si="4"/>
        <v>106.78285762241886</v>
      </c>
      <c r="K112">
        <f t="shared" ca="1" si="5"/>
        <v>1.8890311056764329E-2</v>
      </c>
    </row>
    <row r="113" spans="1:11">
      <c r="A113" t="s">
        <v>12</v>
      </c>
      <c r="B113" s="1">
        <v>45035</v>
      </c>
      <c r="C113">
        <v>104.21499633789</v>
      </c>
      <c r="D113">
        <v>105.72499847412099</v>
      </c>
      <c r="E113">
        <v>103.800003051757</v>
      </c>
      <c r="F113">
        <v>105.01999664306599</v>
      </c>
      <c r="G113">
        <v>105.01999664306599</v>
      </c>
      <c r="H113">
        <v>16732000</v>
      </c>
      <c r="I113" s="3">
        <f t="shared" si="3"/>
        <v>-9.5135179702288131E-4</v>
      </c>
      <c r="J113">
        <f t="shared" ca="1" si="4"/>
        <v>106.50714329310799</v>
      </c>
      <c r="K113">
        <f t="shared" ca="1" si="5"/>
        <v>1.800832002376189E-2</v>
      </c>
    </row>
    <row r="114" spans="1:11">
      <c r="A114" t="s">
        <v>12</v>
      </c>
      <c r="B114" s="1">
        <v>45036</v>
      </c>
      <c r="C114">
        <v>104.650001525878</v>
      </c>
      <c r="D114">
        <v>106.88800048828099</v>
      </c>
      <c r="E114">
        <v>104.639999389648</v>
      </c>
      <c r="F114">
        <v>105.900001525878</v>
      </c>
      <c r="G114">
        <v>105.900001525878</v>
      </c>
      <c r="H114">
        <v>22515300</v>
      </c>
      <c r="I114" s="3">
        <f t="shared" si="3"/>
        <v>8.379403075043923E-3</v>
      </c>
      <c r="J114">
        <f t="shared" ca="1" si="4"/>
        <v>106.47571454729314</v>
      </c>
      <c r="K114">
        <f t="shared" ca="1" si="5"/>
        <v>1.8248114999421597E-2</v>
      </c>
    </row>
    <row r="115" spans="1:11">
      <c r="A115" t="s">
        <v>12</v>
      </c>
      <c r="B115" s="1">
        <v>45037</v>
      </c>
      <c r="C115">
        <v>106.08999633789</v>
      </c>
      <c r="D115">
        <v>106.639999389648</v>
      </c>
      <c r="E115">
        <v>105.48500061035099</v>
      </c>
      <c r="F115">
        <v>105.91000366210901</v>
      </c>
      <c r="G115">
        <v>105.91000366210901</v>
      </c>
      <c r="H115">
        <v>22369800</v>
      </c>
      <c r="I115" s="3">
        <f t="shared" si="3"/>
        <v>9.4448877118846752E-5</v>
      </c>
      <c r="J115">
        <f t="shared" ca="1" si="4"/>
        <v>106.57428632463686</v>
      </c>
      <c r="K115">
        <f t="shared" ca="1" si="5"/>
        <v>1.7880042314732926E-2</v>
      </c>
    </row>
    <row r="116" spans="1:11">
      <c r="A116" t="s">
        <v>12</v>
      </c>
      <c r="B116" s="1">
        <v>45040</v>
      </c>
      <c r="C116">
        <v>106.050003051757</v>
      </c>
      <c r="D116">
        <v>107.31999969482401</v>
      </c>
      <c r="E116">
        <v>105.36000061035099</v>
      </c>
      <c r="F116">
        <v>106.77999877929599</v>
      </c>
      <c r="G116">
        <v>106.77999877929599</v>
      </c>
      <c r="H116">
        <v>21410900</v>
      </c>
      <c r="I116" s="3">
        <f t="shared" si="3"/>
        <v>8.214475376307151E-3</v>
      </c>
      <c r="J116">
        <f t="shared" ca="1" si="4"/>
        <v>106.37285723004972</v>
      </c>
      <c r="K116">
        <f t="shared" ca="1" si="5"/>
        <v>1.3991543441215632E-2</v>
      </c>
    </row>
    <row r="117" spans="1:11">
      <c r="A117" t="s">
        <v>12</v>
      </c>
      <c r="B117" s="1">
        <v>45041</v>
      </c>
      <c r="C117">
        <v>106.61000061035099</v>
      </c>
      <c r="D117">
        <v>107.44000244140599</v>
      </c>
      <c r="E117">
        <v>104.559997558593</v>
      </c>
      <c r="F117">
        <v>104.61000061035099</v>
      </c>
      <c r="G117">
        <v>104.61000061035099</v>
      </c>
      <c r="H117">
        <v>31408100</v>
      </c>
      <c r="I117" s="3">
        <f t="shared" si="3"/>
        <v>-2.0322140791836696E-2</v>
      </c>
      <c r="J117">
        <f t="shared" ca="1" si="4"/>
        <v>105.68000030517528</v>
      </c>
      <c r="K117">
        <f t="shared" ca="1" si="5"/>
        <v>1.4073101831785485E-2</v>
      </c>
    </row>
    <row r="118" spans="1:11">
      <c r="A118" t="s">
        <v>12</v>
      </c>
      <c r="B118" s="1">
        <v>45042</v>
      </c>
      <c r="C118">
        <v>105.559997558593</v>
      </c>
      <c r="D118">
        <v>107.01999664306599</v>
      </c>
      <c r="E118">
        <v>103.26999664306599</v>
      </c>
      <c r="F118">
        <v>104.449996948242</v>
      </c>
      <c r="G118">
        <v>104.449996948242</v>
      </c>
      <c r="H118">
        <v>37068200</v>
      </c>
      <c r="I118" s="3">
        <f t="shared" si="3"/>
        <v>-1.5295254868123997E-3</v>
      </c>
      <c r="J118">
        <f t="shared" ca="1" si="4"/>
        <v>105.39857155936056</v>
      </c>
      <c r="K118">
        <f t="shared" ca="1" si="5"/>
        <v>1.0449544090237765E-2</v>
      </c>
    </row>
    <row r="119" spans="1:11">
      <c r="A119" t="s">
        <v>12</v>
      </c>
      <c r="B119" s="1">
        <v>45043</v>
      </c>
      <c r="C119">
        <v>105.230003356933</v>
      </c>
      <c r="D119">
        <v>109.150001525878</v>
      </c>
      <c r="E119">
        <v>104.419998168945</v>
      </c>
      <c r="F119">
        <v>108.370002746582</v>
      </c>
      <c r="G119">
        <v>108.370002746582</v>
      </c>
      <c r="H119">
        <v>38235200</v>
      </c>
      <c r="I119" s="3">
        <f t="shared" si="3"/>
        <v>3.752997523094681E-2</v>
      </c>
      <c r="J119">
        <f t="shared" ca="1" si="4"/>
        <v>105.86285727364627</v>
      </c>
      <c r="K119">
        <f t="shared" ca="1" si="5"/>
        <v>1.7423381332031928E-2</v>
      </c>
    </row>
    <row r="120" spans="1:11">
      <c r="A120" t="s">
        <v>12</v>
      </c>
      <c r="B120" s="1">
        <v>45044</v>
      </c>
      <c r="C120">
        <v>107.800003051757</v>
      </c>
      <c r="D120">
        <v>108.290000915527</v>
      </c>
      <c r="E120">
        <v>106.040000915527</v>
      </c>
      <c r="F120">
        <v>108.220001220703</v>
      </c>
      <c r="G120">
        <v>108.220001220703</v>
      </c>
      <c r="H120">
        <v>23957900</v>
      </c>
      <c r="I120" s="3">
        <f t="shared" si="3"/>
        <v>-1.3841609493152607E-3</v>
      </c>
      <c r="J120">
        <f t="shared" ca="1" si="4"/>
        <v>106.32000078473729</v>
      </c>
      <c r="K120">
        <f t="shared" ca="1" si="5"/>
        <v>1.7446652876092688E-2</v>
      </c>
    </row>
    <row r="121" spans="1:11">
      <c r="A121" t="s">
        <v>12</v>
      </c>
      <c r="B121" s="1">
        <v>45047</v>
      </c>
      <c r="C121">
        <v>107.720001220703</v>
      </c>
      <c r="D121">
        <v>108.680000305175</v>
      </c>
      <c r="E121">
        <v>107.5</v>
      </c>
      <c r="F121">
        <v>107.709999084472</v>
      </c>
      <c r="G121">
        <v>107.709999084472</v>
      </c>
      <c r="H121">
        <v>20926300</v>
      </c>
      <c r="I121" s="3">
        <f t="shared" si="3"/>
        <v>-4.7126421223272486E-3</v>
      </c>
      <c r="J121">
        <f t="shared" ca="1" si="4"/>
        <v>106.57857186453643</v>
      </c>
      <c r="K121">
        <f t="shared" ca="1" si="5"/>
        <v>1.765274006975083E-2</v>
      </c>
    </row>
    <row r="122" spans="1:11">
      <c r="A122" t="s">
        <v>12</v>
      </c>
      <c r="B122" s="1">
        <v>45048</v>
      </c>
      <c r="C122">
        <v>107.66000366210901</v>
      </c>
      <c r="D122">
        <v>107.730003356933</v>
      </c>
      <c r="E122">
        <v>104.5</v>
      </c>
      <c r="F122">
        <v>105.980003356933</v>
      </c>
      <c r="G122">
        <v>105.980003356933</v>
      </c>
      <c r="H122">
        <v>20343100</v>
      </c>
      <c r="I122" s="3">
        <f t="shared" si="3"/>
        <v>-1.6061607485320373E-2</v>
      </c>
      <c r="J122">
        <f t="shared" ca="1" si="4"/>
        <v>106.58857182093985</v>
      </c>
      <c r="K122">
        <f t="shared" ca="1" si="5"/>
        <v>1.9030571508637465E-2</v>
      </c>
    </row>
    <row r="123" spans="1:11">
      <c r="A123" t="s">
        <v>12</v>
      </c>
      <c r="B123" s="1">
        <v>45049</v>
      </c>
      <c r="C123">
        <v>106.220001220703</v>
      </c>
      <c r="D123">
        <v>108.129997253417</v>
      </c>
      <c r="E123">
        <v>105.620002746582</v>
      </c>
      <c r="F123">
        <v>106.120002746582</v>
      </c>
      <c r="G123">
        <v>106.120002746582</v>
      </c>
      <c r="H123">
        <v>17116300</v>
      </c>
      <c r="I123" s="3">
        <f t="shared" si="3"/>
        <v>1.32099816205411E-3</v>
      </c>
      <c r="J123">
        <f t="shared" ca="1" si="4"/>
        <v>106.49428667340929</v>
      </c>
      <c r="K123">
        <f t="shared" ca="1" si="5"/>
        <v>1.8725520590898482E-2</v>
      </c>
    </row>
    <row r="124" spans="1:11">
      <c r="A124" t="s">
        <v>12</v>
      </c>
      <c r="B124" s="1">
        <v>45050</v>
      </c>
      <c r="C124">
        <v>106.16000366210901</v>
      </c>
      <c r="D124">
        <v>106.300003051757</v>
      </c>
      <c r="E124">
        <v>104.699996948242</v>
      </c>
      <c r="F124">
        <v>105.209999084472</v>
      </c>
      <c r="G124">
        <v>105.209999084472</v>
      </c>
      <c r="H124">
        <v>19780600</v>
      </c>
      <c r="I124" s="3">
        <f t="shared" si="3"/>
        <v>-8.5752321763797879E-3</v>
      </c>
      <c r="J124">
        <f t="shared" ca="1" si="4"/>
        <v>106.58000074114086</v>
      </c>
      <c r="K124">
        <f t="shared" ca="1" si="5"/>
        <v>1.7136794633986596E-2</v>
      </c>
    </row>
    <row r="125" spans="1:11">
      <c r="A125" t="s">
        <v>12</v>
      </c>
      <c r="B125" s="1">
        <v>45051</v>
      </c>
      <c r="C125">
        <v>105.31999969482401</v>
      </c>
      <c r="D125">
        <v>106.44000244140599</v>
      </c>
      <c r="E125">
        <v>104.738998413085</v>
      </c>
      <c r="F125">
        <v>106.21499633789</v>
      </c>
      <c r="G125">
        <v>106.21499633789</v>
      </c>
      <c r="H125">
        <v>20705300</v>
      </c>
      <c r="I125" s="3">
        <f t="shared" si="3"/>
        <v>9.5522979009923237E-3</v>
      </c>
      <c r="J125">
        <f t="shared" ca="1" si="4"/>
        <v>106.83214351109056</v>
      </c>
      <c r="K125">
        <f t="shared" ca="1" si="5"/>
        <v>1.7380654753748222E-2</v>
      </c>
    </row>
    <row r="126" spans="1:11">
      <c r="A126" t="s">
        <v>13</v>
      </c>
      <c r="B126" s="1">
        <v>44964</v>
      </c>
      <c r="C126">
        <v>260.52999877929602</v>
      </c>
      <c r="D126">
        <v>268.76998901367102</v>
      </c>
      <c r="E126">
        <v>260.079986572265</v>
      </c>
      <c r="F126">
        <v>267.55999755859301</v>
      </c>
      <c r="G126">
        <v>266.891510009765</v>
      </c>
      <c r="H126">
        <v>50841400</v>
      </c>
      <c r="I126" s="3">
        <f t="shared" si="3"/>
        <v>1.5127479095393705</v>
      </c>
      <c r="J126">
        <f t="shared" ca="1" si="4"/>
        <v>129.4780731201167</v>
      </c>
      <c r="K126">
        <f t="shared" ca="1" si="5"/>
        <v>0.57307173099872399</v>
      </c>
    </row>
    <row r="127" spans="1:11">
      <c r="A127" t="s">
        <v>13</v>
      </c>
      <c r="B127" s="1">
        <v>44965</v>
      </c>
      <c r="C127">
        <v>273.20001220703102</v>
      </c>
      <c r="D127">
        <v>276.760009765625</v>
      </c>
      <c r="E127">
        <v>266.20999145507801</v>
      </c>
      <c r="F127">
        <v>266.73001098632801</v>
      </c>
      <c r="G127">
        <v>266.06359863281199</v>
      </c>
      <c r="H127">
        <v>54686000</v>
      </c>
      <c r="I127" s="3">
        <f t="shared" si="3"/>
        <v>-3.1020521294315984E-3</v>
      </c>
      <c r="J127">
        <f t="shared" ca="1" si="4"/>
        <v>152.02715846470372</v>
      </c>
      <c r="K127">
        <f t="shared" ca="1" si="5"/>
        <v>0.57317933298401635</v>
      </c>
    </row>
    <row r="128" spans="1:11">
      <c r="A128" t="s">
        <v>13</v>
      </c>
      <c r="B128" s="1">
        <v>44966</v>
      </c>
      <c r="C128">
        <v>273.79998779296801</v>
      </c>
      <c r="D128">
        <v>273.98001098632801</v>
      </c>
      <c r="E128">
        <v>262.79998779296801</v>
      </c>
      <c r="F128">
        <v>263.61999511718699</v>
      </c>
      <c r="G128">
        <v>262.96136474609301</v>
      </c>
      <c r="H128">
        <v>42375100</v>
      </c>
      <c r="I128" s="3">
        <f t="shared" si="3"/>
        <v>-1.1659745649762132E-2</v>
      </c>
      <c r="J128">
        <f t="shared" ca="1" si="4"/>
        <v>174.20592498779246</v>
      </c>
      <c r="K128">
        <f t="shared" ca="1" si="5"/>
        <v>0.5736250133301154</v>
      </c>
    </row>
    <row r="129" spans="1:11">
      <c r="A129" t="s">
        <v>13</v>
      </c>
      <c r="B129" s="1">
        <v>44967</v>
      </c>
      <c r="C129">
        <v>261.52999877929602</v>
      </c>
      <c r="D129">
        <v>264.08999633789</v>
      </c>
      <c r="E129">
        <v>260.66000366210898</v>
      </c>
      <c r="F129">
        <v>263.100006103515</v>
      </c>
      <c r="G129">
        <v>262.44265747070301</v>
      </c>
      <c r="H129">
        <v>25818500</v>
      </c>
      <c r="I129" s="3">
        <f t="shared" si="3"/>
        <v>-1.9725607824208069E-3</v>
      </c>
      <c r="J129">
        <f t="shared" ca="1" si="4"/>
        <v>196.55773271833101</v>
      </c>
      <c r="K129">
        <f t="shared" ca="1" si="5"/>
        <v>0.57271529317396908</v>
      </c>
    </row>
    <row r="130" spans="1:11">
      <c r="A130" t="s">
        <v>13</v>
      </c>
      <c r="B130" s="1">
        <v>44970</v>
      </c>
      <c r="C130">
        <v>267.64001464843699</v>
      </c>
      <c r="D130">
        <v>274.600006103515</v>
      </c>
      <c r="E130">
        <v>267.14999389648398</v>
      </c>
      <c r="F130">
        <v>271.32000732421801</v>
      </c>
      <c r="G130">
        <v>270.64212036132801</v>
      </c>
      <c r="H130">
        <v>44630900</v>
      </c>
      <c r="I130" s="3">
        <f t="shared" si="3"/>
        <v>3.1242874042076485E-2</v>
      </c>
      <c r="J130">
        <f t="shared" ca="1" si="4"/>
        <v>220.06089237758047</v>
      </c>
      <c r="K130">
        <f t="shared" ca="1" si="5"/>
        <v>0.5709719906708175</v>
      </c>
    </row>
    <row r="131" spans="1:11">
      <c r="A131" t="s">
        <v>13</v>
      </c>
      <c r="B131" s="1">
        <v>44971</v>
      </c>
      <c r="C131">
        <v>272.67001342773398</v>
      </c>
      <c r="D131">
        <v>274.97000122070301</v>
      </c>
      <c r="E131">
        <v>269.27999877929602</v>
      </c>
      <c r="F131">
        <v>272.17001342773398</v>
      </c>
      <c r="G131">
        <v>271.49002075195301</v>
      </c>
      <c r="H131">
        <v>37047900</v>
      </c>
      <c r="I131" s="3">
        <f t="shared" si="3"/>
        <v>3.1329210305217625E-3</v>
      </c>
      <c r="J131">
        <f t="shared" ca="1" si="4"/>
        <v>243.81518118722059</v>
      </c>
      <c r="K131">
        <f t="shared" ca="1" si="5"/>
        <v>0.57021319933140013</v>
      </c>
    </row>
    <row r="132" spans="1:11">
      <c r="A132" t="s">
        <v>13</v>
      </c>
      <c r="B132" s="1">
        <v>44972</v>
      </c>
      <c r="C132">
        <v>268.32000732421801</v>
      </c>
      <c r="D132">
        <v>270.73001098632801</v>
      </c>
      <c r="E132">
        <v>266.17999267578102</v>
      </c>
      <c r="F132">
        <v>269.32000732421801</v>
      </c>
      <c r="G132">
        <v>269.32000732421801</v>
      </c>
      <c r="H132">
        <v>28922400</v>
      </c>
      <c r="I132" s="3">
        <f t="shared" ref="I132:I195" si="6">(G132/G131)-1</f>
        <v>-7.9929767647616279E-3</v>
      </c>
      <c r="J132">
        <f t="shared" ca="1" si="4"/>
        <v>267.11589704241038</v>
      </c>
      <c r="K132">
        <f t="shared" ca="1" si="5"/>
        <v>0.57132985934638192</v>
      </c>
    </row>
    <row r="133" spans="1:11">
      <c r="A133" t="s">
        <v>13</v>
      </c>
      <c r="B133" s="1">
        <v>44973</v>
      </c>
      <c r="C133">
        <v>264.01998901367102</v>
      </c>
      <c r="D133">
        <v>266.739990234375</v>
      </c>
      <c r="E133">
        <v>261.89999389648398</v>
      </c>
      <c r="F133">
        <v>262.14999389648398</v>
      </c>
      <c r="G133">
        <v>262.14999389648398</v>
      </c>
      <c r="H133">
        <v>29603600</v>
      </c>
      <c r="I133" s="3">
        <f t="shared" si="6"/>
        <v>-2.6622654213366626E-2</v>
      </c>
      <c r="J133">
        <f t="shared" ca="1" si="4"/>
        <v>266.43853759765591</v>
      </c>
      <c r="K133">
        <f t="shared" ca="1" si="5"/>
        <v>1.7639391010519152E-2</v>
      </c>
    </row>
    <row r="134" spans="1:11">
      <c r="A134" t="s">
        <v>13</v>
      </c>
      <c r="B134" s="1">
        <v>44974</v>
      </c>
      <c r="C134">
        <v>259.39001464843699</v>
      </c>
      <c r="D134">
        <v>260.08999633789</v>
      </c>
      <c r="E134">
        <v>256</v>
      </c>
      <c r="F134">
        <v>258.05999755859301</v>
      </c>
      <c r="G134">
        <v>258.05999755859301</v>
      </c>
      <c r="H134">
        <v>30000100</v>
      </c>
      <c r="I134" s="3">
        <f t="shared" si="6"/>
        <v>-1.5601741114310341E-2</v>
      </c>
      <c r="J134">
        <f t="shared" ca="1" si="4"/>
        <v>265.2951660156246</v>
      </c>
      <c r="K134">
        <f t="shared" ca="1" si="5"/>
        <v>1.8338208550973609E-2</v>
      </c>
    </row>
    <row r="135" spans="1:11">
      <c r="A135" t="s">
        <v>13</v>
      </c>
      <c r="B135" s="1">
        <v>44978</v>
      </c>
      <c r="C135">
        <v>254.47999572753901</v>
      </c>
      <c r="D135">
        <v>255.49000549316401</v>
      </c>
      <c r="E135">
        <v>251.58999633789</v>
      </c>
      <c r="F135">
        <v>252.669998168945</v>
      </c>
      <c r="G135">
        <v>252.669998168945</v>
      </c>
      <c r="H135">
        <v>28397400</v>
      </c>
      <c r="I135" s="3">
        <f t="shared" si="6"/>
        <v>-2.0886613348216398E-2</v>
      </c>
      <c r="J135">
        <f t="shared" ca="1" si="4"/>
        <v>263.82497079031771</v>
      </c>
      <c r="K135">
        <f t="shared" ca="1" si="5"/>
        <v>1.9270779635546624E-2</v>
      </c>
    </row>
    <row r="136" spans="1:11">
      <c r="A136" t="s">
        <v>13</v>
      </c>
      <c r="B136" s="1">
        <v>44979</v>
      </c>
      <c r="C136">
        <v>254.08999633789</v>
      </c>
      <c r="D136">
        <v>254.33999633789</v>
      </c>
      <c r="E136">
        <v>250.33999633789</v>
      </c>
      <c r="F136">
        <v>251.509994506835</v>
      </c>
      <c r="G136">
        <v>251.509994506835</v>
      </c>
      <c r="H136">
        <v>22491100</v>
      </c>
      <c r="I136" s="3">
        <f t="shared" si="6"/>
        <v>-4.5909829837984528E-3</v>
      </c>
      <c r="J136">
        <f t="shared" ca="1" si="4"/>
        <v>262.26316179547945</v>
      </c>
      <c r="K136">
        <f t="shared" ca="1" si="5"/>
        <v>1.9215581946100253E-2</v>
      </c>
    </row>
    <row r="137" spans="1:11">
      <c r="A137" t="s">
        <v>13</v>
      </c>
      <c r="B137" s="1">
        <v>44980</v>
      </c>
      <c r="C137">
        <v>255.55999755859301</v>
      </c>
      <c r="D137">
        <v>256.83999633789</v>
      </c>
      <c r="E137">
        <v>250.47999572753901</v>
      </c>
      <c r="F137">
        <v>254.77000427246</v>
      </c>
      <c r="G137">
        <v>254.77000427246</v>
      </c>
      <c r="H137">
        <v>29219100</v>
      </c>
      <c r="I137" s="3">
        <f t="shared" si="6"/>
        <v>1.2961750375038994E-2</v>
      </c>
      <c r="J137">
        <f t="shared" ref="J137:J200" ca="1" si="7">AVERAGE(OFFSET(G137,-6,0,7,1))</f>
        <v>259.99571663992685</v>
      </c>
      <c r="K137">
        <f t="shared" ref="K137:K200" ca="1" si="8">STDEV(OFFSET(I137,-6,0,7,1))</f>
        <v>1.3806768528616287E-2</v>
      </c>
    </row>
    <row r="138" spans="1:11">
      <c r="A138" t="s">
        <v>13</v>
      </c>
      <c r="B138" s="1">
        <v>44981</v>
      </c>
      <c r="C138">
        <v>249.96000671386699</v>
      </c>
      <c r="D138">
        <v>251</v>
      </c>
      <c r="E138">
        <v>248.100006103515</v>
      </c>
      <c r="F138">
        <v>249.22000122070301</v>
      </c>
      <c r="G138">
        <v>249.22000122070301</v>
      </c>
      <c r="H138">
        <v>24990900</v>
      </c>
      <c r="I138" s="3">
        <f t="shared" si="6"/>
        <v>-2.1784366128995369E-2</v>
      </c>
      <c r="J138">
        <f t="shared" ca="1" si="7"/>
        <v>256.81428527831974</v>
      </c>
      <c r="K138">
        <f t="shared" ca="1" si="8"/>
        <v>1.3512344678736613E-2</v>
      </c>
    </row>
    <row r="139" spans="1:11">
      <c r="A139" t="s">
        <v>13</v>
      </c>
      <c r="B139" s="1">
        <v>44984</v>
      </c>
      <c r="C139">
        <v>252.46000671386699</v>
      </c>
      <c r="D139">
        <v>252.82000732421801</v>
      </c>
      <c r="E139">
        <v>249.38999938964801</v>
      </c>
      <c r="F139">
        <v>250.16000366210901</v>
      </c>
      <c r="G139">
        <v>250.16000366210901</v>
      </c>
      <c r="H139">
        <v>21190000</v>
      </c>
      <c r="I139" s="3">
        <f t="shared" si="6"/>
        <v>3.7717776936112557E-3</v>
      </c>
      <c r="J139">
        <f t="shared" ca="1" si="7"/>
        <v>254.0771418980184</v>
      </c>
      <c r="K139">
        <f t="shared" ca="1" si="8"/>
        <v>1.4777011969248497E-2</v>
      </c>
    </row>
    <row r="140" spans="1:11">
      <c r="A140" t="s">
        <v>13</v>
      </c>
      <c r="B140" s="1">
        <v>44985</v>
      </c>
      <c r="C140">
        <v>249.07000732421801</v>
      </c>
      <c r="D140">
        <v>251.49000549316401</v>
      </c>
      <c r="E140">
        <v>248.72999572753901</v>
      </c>
      <c r="F140">
        <v>249.419998168945</v>
      </c>
      <c r="G140">
        <v>249.419998168945</v>
      </c>
      <c r="H140">
        <v>22491000</v>
      </c>
      <c r="I140" s="3">
        <f t="shared" si="6"/>
        <v>-2.9581287269387913E-3</v>
      </c>
      <c r="J140">
        <f t="shared" ca="1" si="7"/>
        <v>252.2585710797986</v>
      </c>
      <c r="K140">
        <f t="shared" ca="1" si="8"/>
        <v>1.3051482083507615E-2</v>
      </c>
    </row>
    <row r="141" spans="1:11">
      <c r="A141" t="s">
        <v>13</v>
      </c>
      <c r="B141" s="1">
        <v>44986</v>
      </c>
      <c r="C141">
        <v>250.759994506835</v>
      </c>
      <c r="D141">
        <v>250.92999267578099</v>
      </c>
      <c r="E141">
        <v>245.78999328613199</v>
      </c>
      <c r="F141">
        <v>246.27000427246</v>
      </c>
      <c r="G141">
        <v>246.27000427246</v>
      </c>
      <c r="H141">
        <v>27565300</v>
      </c>
      <c r="I141" s="3">
        <f t="shared" si="6"/>
        <v>-1.2629275597826561E-2</v>
      </c>
      <c r="J141">
        <f t="shared" ca="1" si="7"/>
        <v>250.57428632463672</v>
      </c>
      <c r="K141">
        <f t="shared" ca="1" si="8"/>
        <v>1.2770791375001166E-2</v>
      </c>
    </row>
    <row r="142" spans="1:11">
      <c r="A142" t="s">
        <v>13</v>
      </c>
      <c r="B142" s="1">
        <v>44987</v>
      </c>
      <c r="C142">
        <v>246.55000305175699</v>
      </c>
      <c r="D142">
        <v>251.39999389648401</v>
      </c>
      <c r="E142">
        <v>245.61000061035099</v>
      </c>
      <c r="F142">
        <v>251.11000061035099</v>
      </c>
      <c r="G142">
        <v>251.11000061035099</v>
      </c>
      <c r="H142">
        <v>24808200</v>
      </c>
      <c r="I142" s="3">
        <f t="shared" si="6"/>
        <v>1.9653210922659925E-2</v>
      </c>
      <c r="J142">
        <f t="shared" ca="1" si="7"/>
        <v>250.35142953055188</v>
      </c>
      <c r="K142">
        <f t="shared" ca="1" si="8"/>
        <v>1.4305739722895431E-2</v>
      </c>
    </row>
    <row r="143" spans="1:11">
      <c r="A143" t="s">
        <v>13</v>
      </c>
      <c r="B143" s="1">
        <v>44988</v>
      </c>
      <c r="C143">
        <v>252.19000244140599</v>
      </c>
      <c r="D143">
        <v>255.61999511718699</v>
      </c>
      <c r="E143">
        <v>251.38999938964801</v>
      </c>
      <c r="F143">
        <v>255.28999328613199</v>
      </c>
      <c r="G143">
        <v>255.28999328613199</v>
      </c>
      <c r="H143">
        <v>30760100</v>
      </c>
      <c r="I143" s="3">
        <f t="shared" si="6"/>
        <v>1.664606214655362E-2</v>
      </c>
      <c r="J143">
        <f t="shared" ca="1" si="7"/>
        <v>250.8914293561657</v>
      </c>
      <c r="K143">
        <f t="shared" ca="1" si="8"/>
        <v>1.5563540893038429E-2</v>
      </c>
    </row>
    <row r="144" spans="1:11">
      <c r="A144" t="s">
        <v>13</v>
      </c>
      <c r="B144" s="1">
        <v>44991</v>
      </c>
      <c r="C144">
        <v>256.42999267578102</v>
      </c>
      <c r="D144">
        <v>260.11999511718699</v>
      </c>
      <c r="E144">
        <v>255.97999572753901</v>
      </c>
      <c r="F144">
        <v>256.86999511718699</v>
      </c>
      <c r="G144">
        <v>256.86999511718699</v>
      </c>
      <c r="H144">
        <v>24109800</v>
      </c>
      <c r="I144" s="3">
        <f t="shared" si="6"/>
        <v>6.1890472506069827E-3</v>
      </c>
      <c r="J144">
        <f t="shared" ca="1" si="7"/>
        <v>251.19142804826956</v>
      </c>
      <c r="K144">
        <f t="shared" ca="1" si="8"/>
        <v>1.4985506221733766E-2</v>
      </c>
    </row>
    <row r="145" spans="1:11">
      <c r="A145" t="s">
        <v>13</v>
      </c>
      <c r="B145" s="1">
        <v>44992</v>
      </c>
      <c r="C145">
        <v>256.29998779296801</v>
      </c>
      <c r="D145">
        <v>257.69000244140602</v>
      </c>
      <c r="E145">
        <v>253.38999938964801</v>
      </c>
      <c r="F145">
        <v>254.14999389648401</v>
      </c>
      <c r="G145">
        <v>254.14999389648401</v>
      </c>
      <c r="H145">
        <v>21473200</v>
      </c>
      <c r="I145" s="3">
        <f t="shared" si="6"/>
        <v>-1.058901885158714E-2</v>
      </c>
      <c r="J145">
        <f t="shared" ca="1" si="7"/>
        <v>251.89571271623828</v>
      </c>
      <c r="K145">
        <f t="shared" ca="1" si="8"/>
        <v>1.2507498724417291E-2</v>
      </c>
    </row>
    <row r="146" spans="1:11">
      <c r="A146" t="s">
        <v>13</v>
      </c>
      <c r="B146" s="1">
        <v>44993</v>
      </c>
      <c r="C146">
        <v>254.03999328613199</v>
      </c>
      <c r="D146">
        <v>254.53999328613199</v>
      </c>
      <c r="E146">
        <v>250.80999755859301</v>
      </c>
      <c r="F146">
        <v>253.69999694824199</v>
      </c>
      <c r="G146">
        <v>253.69999694824199</v>
      </c>
      <c r="H146">
        <v>17340200</v>
      </c>
      <c r="I146" s="3">
        <f t="shared" si="6"/>
        <v>-1.7705959435329044E-3</v>
      </c>
      <c r="J146">
        <f t="shared" ca="1" si="7"/>
        <v>252.40142604282869</v>
      </c>
      <c r="K146">
        <f t="shared" ca="1" si="8"/>
        <v>1.2615788952817668E-2</v>
      </c>
    </row>
    <row r="147" spans="1:11">
      <c r="A147" t="s">
        <v>13</v>
      </c>
      <c r="B147" s="1">
        <v>44994</v>
      </c>
      <c r="C147">
        <v>255.82000732421801</v>
      </c>
      <c r="D147">
        <v>259.55999755859301</v>
      </c>
      <c r="E147">
        <v>251.58000183105401</v>
      </c>
      <c r="F147">
        <v>252.32000732421801</v>
      </c>
      <c r="G147">
        <v>252.32000732421801</v>
      </c>
      <c r="H147">
        <v>26653400</v>
      </c>
      <c r="I147" s="3">
        <f t="shared" si="6"/>
        <v>-5.4394546339135985E-3</v>
      </c>
      <c r="J147">
        <f t="shared" ca="1" si="7"/>
        <v>252.81571306501058</v>
      </c>
      <c r="K147">
        <f t="shared" ca="1" si="8"/>
        <v>1.2814155047530904E-2</v>
      </c>
    </row>
    <row r="148" spans="1:11">
      <c r="A148" t="s">
        <v>13</v>
      </c>
      <c r="B148" s="1">
        <v>44995</v>
      </c>
      <c r="C148">
        <v>251.08000183105401</v>
      </c>
      <c r="D148">
        <v>252.78999328613199</v>
      </c>
      <c r="E148">
        <v>247.600006103515</v>
      </c>
      <c r="F148">
        <v>248.58999633789</v>
      </c>
      <c r="G148">
        <v>248.58999633789</v>
      </c>
      <c r="H148">
        <v>28333900</v>
      </c>
      <c r="I148" s="3">
        <f t="shared" si="6"/>
        <v>-1.4782858584555858E-2</v>
      </c>
      <c r="J148">
        <f t="shared" ca="1" si="7"/>
        <v>253.14714050292918</v>
      </c>
      <c r="K148">
        <f t="shared" ca="1" si="8"/>
        <v>1.3235103448809089E-2</v>
      </c>
    </row>
    <row r="149" spans="1:11">
      <c r="A149" t="s">
        <v>13</v>
      </c>
      <c r="B149" s="1">
        <v>44998</v>
      </c>
      <c r="C149">
        <v>247.39999389648401</v>
      </c>
      <c r="D149">
        <v>257.91000366210898</v>
      </c>
      <c r="E149">
        <v>245.72999572753901</v>
      </c>
      <c r="F149">
        <v>253.919998168945</v>
      </c>
      <c r="G149">
        <v>253.919998168945</v>
      </c>
      <c r="H149">
        <v>33339700</v>
      </c>
      <c r="I149" s="3">
        <f t="shared" si="6"/>
        <v>2.144093450892659E-2</v>
      </c>
      <c r="J149">
        <f t="shared" ca="1" si="7"/>
        <v>253.54856872558543</v>
      </c>
      <c r="K149">
        <f t="shared" ca="1" si="8"/>
        <v>1.365623312418259E-2</v>
      </c>
    </row>
    <row r="150" spans="1:11">
      <c r="A150" t="s">
        <v>13</v>
      </c>
      <c r="B150" s="1">
        <v>44999</v>
      </c>
      <c r="C150">
        <v>256.75</v>
      </c>
      <c r="D150">
        <v>261.07000732421801</v>
      </c>
      <c r="E150">
        <v>255.86000061035099</v>
      </c>
      <c r="F150">
        <v>260.79000854492102</v>
      </c>
      <c r="G150">
        <v>260.79000854492102</v>
      </c>
      <c r="H150">
        <v>33620300</v>
      </c>
      <c r="I150" s="3">
        <f t="shared" si="6"/>
        <v>2.7055806653736081E-2</v>
      </c>
      <c r="J150">
        <f t="shared" ca="1" si="7"/>
        <v>254.33428519112672</v>
      </c>
      <c r="K150">
        <f t="shared" ca="1" si="8"/>
        <v>1.5935392067722581E-2</v>
      </c>
    </row>
    <row r="151" spans="1:11">
      <c r="A151" t="s">
        <v>13</v>
      </c>
      <c r="B151" s="1">
        <v>45000</v>
      </c>
      <c r="C151">
        <v>259.98001098632801</v>
      </c>
      <c r="D151">
        <v>266.48001098632801</v>
      </c>
      <c r="E151">
        <v>259.20999145507801</v>
      </c>
      <c r="F151">
        <v>265.44000244140602</v>
      </c>
      <c r="G151">
        <v>265.44000244140602</v>
      </c>
      <c r="H151">
        <v>46028000</v>
      </c>
      <c r="I151" s="3">
        <f t="shared" si="6"/>
        <v>1.7830414295507913E-2</v>
      </c>
      <c r="J151">
        <f t="shared" ca="1" si="7"/>
        <v>255.55857195172942</v>
      </c>
      <c r="K151">
        <f t="shared" ca="1" si="8"/>
        <v>1.6883718629991263E-2</v>
      </c>
    </row>
    <row r="152" spans="1:11">
      <c r="A152" t="s">
        <v>13</v>
      </c>
      <c r="B152" s="1">
        <v>45001</v>
      </c>
      <c r="C152">
        <v>265.20999145507801</v>
      </c>
      <c r="D152">
        <v>276.55999755859301</v>
      </c>
      <c r="E152">
        <v>263.27999877929602</v>
      </c>
      <c r="F152">
        <v>276.20001220703102</v>
      </c>
      <c r="G152">
        <v>276.20001220703102</v>
      </c>
      <c r="H152">
        <v>54768800</v>
      </c>
      <c r="I152" s="3">
        <f t="shared" si="6"/>
        <v>4.0536504169149001E-2</v>
      </c>
      <c r="J152">
        <f t="shared" ca="1" si="7"/>
        <v>258.70857456752185</v>
      </c>
      <c r="K152">
        <f t="shared" ca="1" si="8"/>
        <v>1.9896027445959395E-2</v>
      </c>
    </row>
    <row r="153" spans="1:11">
      <c r="A153" t="s">
        <v>13</v>
      </c>
      <c r="B153" s="1">
        <v>45002</v>
      </c>
      <c r="C153">
        <v>278.260009765625</v>
      </c>
      <c r="D153">
        <v>283.329986572265</v>
      </c>
      <c r="E153">
        <v>276.32000732421801</v>
      </c>
      <c r="F153">
        <v>279.42999267578102</v>
      </c>
      <c r="G153">
        <v>279.42999267578102</v>
      </c>
      <c r="H153">
        <v>69527400</v>
      </c>
      <c r="I153" s="3">
        <f t="shared" si="6"/>
        <v>1.1694353099191312E-2</v>
      </c>
      <c r="J153">
        <f t="shared" ca="1" si="7"/>
        <v>262.38428824288457</v>
      </c>
      <c r="K153">
        <f t="shared" ca="1" si="8"/>
        <v>1.8957518183948509E-2</v>
      </c>
    </row>
    <row r="154" spans="1:11">
      <c r="A154" t="s">
        <v>13</v>
      </c>
      <c r="B154" s="1">
        <v>45005</v>
      </c>
      <c r="C154">
        <v>276.98001098632801</v>
      </c>
      <c r="D154">
        <v>277.48001098632801</v>
      </c>
      <c r="E154">
        <v>269.850006103515</v>
      </c>
      <c r="F154">
        <v>272.23001098632801</v>
      </c>
      <c r="G154">
        <v>272.23001098632801</v>
      </c>
      <c r="H154">
        <v>43466600</v>
      </c>
      <c r="I154" s="3">
        <f t="shared" si="6"/>
        <v>-2.5766674581017668E-2</v>
      </c>
      <c r="J154">
        <f t="shared" ca="1" si="7"/>
        <v>265.22857448032886</v>
      </c>
      <c r="K154">
        <f t="shared" ca="1" si="8"/>
        <v>2.3461822433199477E-2</v>
      </c>
    </row>
    <row r="155" spans="1:11">
      <c r="A155" t="s">
        <v>13</v>
      </c>
      <c r="B155" s="1">
        <v>45006</v>
      </c>
      <c r="C155">
        <v>274.88000488281199</v>
      </c>
      <c r="D155">
        <v>275</v>
      </c>
      <c r="E155">
        <v>269.51998901367102</v>
      </c>
      <c r="F155">
        <v>273.77999877929602</v>
      </c>
      <c r="G155">
        <v>273.77999877929602</v>
      </c>
      <c r="H155">
        <v>34558700</v>
      </c>
      <c r="I155" s="3">
        <f t="shared" si="6"/>
        <v>5.6936698027971744E-3</v>
      </c>
      <c r="J155">
        <f t="shared" ca="1" si="7"/>
        <v>268.82714625767261</v>
      </c>
      <c r="K155">
        <f t="shared" ca="1" si="8"/>
        <v>2.0818043665997422E-2</v>
      </c>
    </row>
    <row r="156" spans="1:11">
      <c r="A156" t="s">
        <v>13</v>
      </c>
      <c r="B156" s="1">
        <v>45007</v>
      </c>
      <c r="C156">
        <v>273.39999389648398</v>
      </c>
      <c r="D156">
        <v>281.04000854492102</v>
      </c>
      <c r="E156">
        <v>272.17999267578102</v>
      </c>
      <c r="F156">
        <v>272.29000854492102</v>
      </c>
      <c r="G156">
        <v>272.29000854492102</v>
      </c>
      <c r="H156">
        <v>34873300</v>
      </c>
      <c r="I156" s="3">
        <f t="shared" si="6"/>
        <v>-5.4422903098050313E-3</v>
      </c>
      <c r="J156">
        <f t="shared" ca="1" si="7"/>
        <v>271.45143345424054</v>
      </c>
      <c r="K156">
        <f t="shared" ca="1" si="8"/>
        <v>2.1692787351349808E-2</v>
      </c>
    </row>
    <row r="157" spans="1:11">
      <c r="A157" t="s">
        <v>13</v>
      </c>
      <c r="B157" s="1">
        <v>45008</v>
      </c>
      <c r="C157">
        <v>277.94000244140602</v>
      </c>
      <c r="D157">
        <v>281.05999755859301</v>
      </c>
      <c r="E157">
        <v>275.20001220703102</v>
      </c>
      <c r="F157">
        <v>277.66000366210898</v>
      </c>
      <c r="G157">
        <v>277.66000366210898</v>
      </c>
      <c r="H157">
        <v>36610900</v>
      </c>
      <c r="I157" s="3">
        <f t="shared" si="6"/>
        <v>1.9721601779971509E-2</v>
      </c>
      <c r="J157">
        <f t="shared" ca="1" si="7"/>
        <v>273.86143275669599</v>
      </c>
      <c r="K157">
        <f t="shared" ca="1" si="8"/>
        <v>2.0907507778324154E-2</v>
      </c>
    </row>
    <row r="158" spans="1:11">
      <c r="A158" t="s">
        <v>13</v>
      </c>
      <c r="B158" s="1">
        <v>45009</v>
      </c>
      <c r="C158">
        <v>277.239990234375</v>
      </c>
      <c r="D158">
        <v>280.63000488281199</v>
      </c>
      <c r="E158">
        <v>275.27999877929602</v>
      </c>
      <c r="F158">
        <v>280.57000732421801</v>
      </c>
      <c r="G158">
        <v>280.57000732421801</v>
      </c>
      <c r="H158">
        <v>28172000</v>
      </c>
      <c r="I158" s="3">
        <f t="shared" si="6"/>
        <v>1.0480456759088375E-2</v>
      </c>
      <c r="J158">
        <f t="shared" ca="1" si="7"/>
        <v>276.02286202566916</v>
      </c>
      <c r="K158">
        <f t="shared" ca="1" si="8"/>
        <v>2.0582773188279429E-2</v>
      </c>
    </row>
    <row r="159" spans="1:11">
      <c r="A159" t="s">
        <v>13</v>
      </c>
      <c r="B159" s="1">
        <v>45012</v>
      </c>
      <c r="C159">
        <v>280.5</v>
      </c>
      <c r="D159">
        <v>281.45999145507801</v>
      </c>
      <c r="E159">
        <v>275.51998901367102</v>
      </c>
      <c r="F159">
        <v>276.38000488281199</v>
      </c>
      <c r="G159">
        <v>276.38000488281199</v>
      </c>
      <c r="H159">
        <v>26840200</v>
      </c>
      <c r="I159" s="3">
        <f t="shared" si="6"/>
        <v>-1.4933892903827739E-2</v>
      </c>
      <c r="J159">
        <f t="shared" ca="1" si="7"/>
        <v>276.04857526506646</v>
      </c>
      <c r="K159">
        <f t="shared" ca="1" si="8"/>
        <v>1.624920158490676E-2</v>
      </c>
    </row>
    <row r="160" spans="1:11">
      <c r="A160" t="s">
        <v>13</v>
      </c>
      <c r="B160" s="1">
        <v>45013</v>
      </c>
      <c r="C160">
        <v>275.79000854492102</v>
      </c>
      <c r="D160">
        <v>276.14001464843699</v>
      </c>
      <c r="E160">
        <v>272.04998779296801</v>
      </c>
      <c r="F160">
        <v>275.23001098632801</v>
      </c>
      <c r="G160">
        <v>275.23001098632801</v>
      </c>
      <c r="H160">
        <v>21878600</v>
      </c>
      <c r="I160" s="3">
        <f t="shared" si="6"/>
        <v>-4.1609156819125692E-3</v>
      </c>
      <c r="J160">
        <f t="shared" ca="1" si="7"/>
        <v>275.44857788085886</v>
      </c>
      <c r="K160">
        <f t="shared" ca="1" si="8"/>
        <v>1.5467265861885345E-2</v>
      </c>
    </row>
    <row r="161" spans="1:11">
      <c r="A161" t="s">
        <v>13</v>
      </c>
      <c r="B161" s="1">
        <v>45014</v>
      </c>
      <c r="C161">
        <v>278.95999145507801</v>
      </c>
      <c r="D161">
        <v>281.14001464843699</v>
      </c>
      <c r="E161">
        <v>278.41000366210898</v>
      </c>
      <c r="F161">
        <v>280.510009765625</v>
      </c>
      <c r="G161">
        <v>280.510009765625</v>
      </c>
      <c r="H161">
        <v>25087000</v>
      </c>
      <c r="I161" s="3">
        <f t="shared" si="6"/>
        <v>1.9183950036463449E-2</v>
      </c>
      <c r="J161">
        <f t="shared" ca="1" si="7"/>
        <v>276.63143484932988</v>
      </c>
      <c r="K161">
        <f t="shared" ca="1" si="8"/>
        <v>1.3139711437342627E-2</v>
      </c>
    </row>
    <row r="162" spans="1:11">
      <c r="A162" t="s">
        <v>13</v>
      </c>
      <c r="B162" s="1">
        <v>45015</v>
      </c>
      <c r="C162">
        <v>284.23001098632801</v>
      </c>
      <c r="D162">
        <v>284.45999145507801</v>
      </c>
      <c r="E162">
        <v>281.48001098632801</v>
      </c>
      <c r="F162">
        <v>284.04998779296801</v>
      </c>
      <c r="G162">
        <v>284.04998779296801</v>
      </c>
      <c r="H162">
        <v>25053400</v>
      </c>
      <c r="I162" s="3">
        <f t="shared" si="6"/>
        <v>1.2619792178898637E-2</v>
      </c>
      <c r="J162">
        <f t="shared" ca="1" si="7"/>
        <v>278.09857613699728</v>
      </c>
      <c r="K162">
        <f t="shared" ca="1" si="8"/>
        <v>1.3512092638463811E-2</v>
      </c>
    </row>
    <row r="163" spans="1:11">
      <c r="A163" t="s">
        <v>13</v>
      </c>
      <c r="B163" s="1">
        <v>45016</v>
      </c>
      <c r="C163">
        <v>283.73001098632801</v>
      </c>
      <c r="D163">
        <v>289.26998901367102</v>
      </c>
      <c r="E163">
        <v>283</v>
      </c>
      <c r="F163">
        <v>288.29998779296801</v>
      </c>
      <c r="G163">
        <v>288.29998779296801</v>
      </c>
      <c r="H163">
        <v>32766000</v>
      </c>
      <c r="I163" s="3">
        <f t="shared" si="6"/>
        <v>1.4962155193253057E-2</v>
      </c>
      <c r="J163">
        <f t="shared" ca="1" si="7"/>
        <v>280.38571602957546</v>
      </c>
      <c r="K163">
        <f t="shared" ca="1" si="8"/>
        <v>1.2985848136526205E-2</v>
      </c>
    </row>
    <row r="164" spans="1:11">
      <c r="A164" t="s">
        <v>13</v>
      </c>
      <c r="B164" s="1">
        <v>45019</v>
      </c>
      <c r="C164">
        <v>286.51998901367102</v>
      </c>
      <c r="D164">
        <v>288.26998901367102</v>
      </c>
      <c r="E164">
        <v>283.95001220703102</v>
      </c>
      <c r="F164">
        <v>287.23001098632801</v>
      </c>
      <c r="G164">
        <v>287.23001098632801</v>
      </c>
      <c r="H164">
        <v>24883300</v>
      </c>
      <c r="I164" s="3">
        <f t="shared" si="6"/>
        <v>-3.7113314323424795E-3</v>
      </c>
      <c r="J164">
        <f t="shared" ca="1" si="7"/>
        <v>281.75285993303532</v>
      </c>
      <c r="K164">
        <f t="shared" ca="1" si="8"/>
        <v>1.2554219781167103E-2</v>
      </c>
    </row>
    <row r="165" spans="1:11">
      <c r="A165" t="s">
        <v>13</v>
      </c>
      <c r="B165" s="1">
        <v>45020</v>
      </c>
      <c r="C165">
        <v>287.23001098632801</v>
      </c>
      <c r="D165">
        <v>290.45001220703102</v>
      </c>
      <c r="E165">
        <v>285.67001342773398</v>
      </c>
      <c r="F165">
        <v>287.17999267578102</v>
      </c>
      <c r="G165">
        <v>287.17999267578102</v>
      </c>
      <c r="H165">
        <v>25824300</v>
      </c>
      <c r="I165" s="3">
        <f t="shared" si="6"/>
        <v>-1.7414026610673705E-4</v>
      </c>
      <c r="J165">
        <f t="shared" ca="1" si="7"/>
        <v>282.69714355468716</v>
      </c>
      <c r="K165">
        <f t="shared" ca="1" si="8"/>
        <v>1.2412800100947701E-2</v>
      </c>
    </row>
    <row r="166" spans="1:11">
      <c r="A166" t="s">
        <v>13</v>
      </c>
      <c r="B166" s="1">
        <v>45021</v>
      </c>
      <c r="C166">
        <v>285.850006103515</v>
      </c>
      <c r="D166">
        <v>287.14999389648398</v>
      </c>
      <c r="E166">
        <v>282.92001342773398</v>
      </c>
      <c r="F166">
        <v>284.33999633789</v>
      </c>
      <c r="G166">
        <v>284.33999633789</v>
      </c>
      <c r="H166">
        <v>22064800</v>
      </c>
      <c r="I166" s="3">
        <f t="shared" si="6"/>
        <v>-9.8892555551295391E-3</v>
      </c>
      <c r="J166">
        <f t="shared" ca="1" si="7"/>
        <v>283.83428519112687</v>
      </c>
      <c r="K166">
        <f t="shared" ca="1" si="8"/>
        <v>1.1264424617797739E-2</v>
      </c>
    </row>
    <row r="167" spans="1:11">
      <c r="A167" t="s">
        <v>13</v>
      </c>
      <c r="B167" s="1">
        <v>45022</v>
      </c>
      <c r="C167">
        <v>283.20999145507801</v>
      </c>
      <c r="D167">
        <v>292.079986572265</v>
      </c>
      <c r="E167">
        <v>282.02999877929602</v>
      </c>
      <c r="F167">
        <v>291.600006103515</v>
      </c>
      <c r="G167">
        <v>291.600006103515</v>
      </c>
      <c r="H167">
        <v>29770300</v>
      </c>
      <c r="I167" s="3">
        <f t="shared" si="6"/>
        <v>2.5532847503443312E-2</v>
      </c>
      <c r="J167">
        <f t="shared" ca="1" si="7"/>
        <v>286.17285592215359</v>
      </c>
      <c r="K167">
        <f t="shared" ca="1" si="8"/>
        <v>1.3072762950839881E-2</v>
      </c>
    </row>
    <row r="168" spans="1:11">
      <c r="A168" t="s">
        <v>13</v>
      </c>
      <c r="B168" s="1">
        <v>45026</v>
      </c>
      <c r="C168">
        <v>289.20999145507801</v>
      </c>
      <c r="D168">
        <v>289.600006103515</v>
      </c>
      <c r="E168">
        <v>284.70999145507801</v>
      </c>
      <c r="F168">
        <v>289.39001464843699</v>
      </c>
      <c r="G168">
        <v>289.39001464843699</v>
      </c>
      <c r="H168">
        <v>23103000</v>
      </c>
      <c r="I168" s="3">
        <f t="shared" si="6"/>
        <v>-7.5788457092607064E-3</v>
      </c>
      <c r="J168">
        <f t="shared" ca="1" si="7"/>
        <v>287.44142804826959</v>
      </c>
      <c r="K168">
        <f t="shared" ca="1" si="8"/>
        <v>1.3291484633092912E-2</v>
      </c>
    </row>
    <row r="169" spans="1:11">
      <c r="A169" t="s">
        <v>13</v>
      </c>
      <c r="B169" s="1">
        <v>45027</v>
      </c>
      <c r="C169">
        <v>285.75</v>
      </c>
      <c r="D169">
        <v>285.98001098632801</v>
      </c>
      <c r="E169">
        <v>281.64001464843699</v>
      </c>
      <c r="F169">
        <v>282.829986572265</v>
      </c>
      <c r="G169">
        <v>282.829986572265</v>
      </c>
      <c r="H169">
        <v>27276600</v>
      </c>
      <c r="I169" s="3">
        <f t="shared" si="6"/>
        <v>-2.2668467272934034E-2</v>
      </c>
      <c r="J169">
        <f t="shared" ca="1" si="7"/>
        <v>287.26714215959771</v>
      </c>
      <c r="K169">
        <f t="shared" ca="1" si="8"/>
        <v>1.610856521515729E-2</v>
      </c>
    </row>
    <row r="170" spans="1:11">
      <c r="A170" t="s">
        <v>13</v>
      </c>
      <c r="B170" s="1">
        <v>45028</v>
      </c>
      <c r="C170">
        <v>284.79000854492102</v>
      </c>
      <c r="D170">
        <v>287.010009765625</v>
      </c>
      <c r="E170">
        <v>281.95999145507801</v>
      </c>
      <c r="F170">
        <v>283.489990234375</v>
      </c>
      <c r="G170">
        <v>283.489990234375</v>
      </c>
      <c r="H170">
        <v>27403400</v>
      </c>
      <c r="I170" s="3">
        <f t="shared" si="6"/>
        <v>2.3335703194307111E-3</v>
      </c>
      <c r="J170">
        <f t="shared" ca="1" si="7"/>
        <v>286.5799996512273</v>
      </c>
      <c r="K170">
        <f t="shared" ca="1" si="8"/>
        <v>1.4736494037185383E-2</v>
      </c>
    </row>
    <row r="171" spans="1:11">
      <c r="A171" t="s">
        <v>13</v>
      </c>
      <c r="B171" s="1">
        <v>45029</v>
      </c>
      <c r="C171">
        <v>283.58999633789</v>
      </c>
      <c r="D171">
        <v>289.89999389648398</v>
      </c>
      <c r="E171">
        <v>283.17001342773398</v>
      </c>
      <c r="F171">
        <v>289.83999633789</v>
      </c>
      <c r="G171">
        <v>289.83999633789</v>
      </c>
      <c r="H171">
        <v>24222700</v>
      </c>
      <c r="I171" s="3">
        <f t="shared" si="6"/>
        <v>2.2399401468337965E-2</v>
      </c>
      <c r="J171">
        <f t="shared" ca="1" si="7"/>
        <v>286.95285470145041</v>
      </c>
      <c r="K171">
        <f t="shared" ca="1" si="8"/>
        <v>1.7388086452424751E-2</v>
      </c>
    </row>
    <row r="172" spans="1:11">
      <c r="A172" t="s">
        <v>13</v>
      </c>
      <c r="B172" s="1">
        <v>45030</v>
      </c>
      <c r="C172">
        <v>287</v>
      </c>
      <c r="D172">
        <v>288.48001098632801</v>
      </c>
      <c r="E172">
        <v>283.69000244140602</v>
      </c>
      <c r="F172">
        <v>286.14001464843699</v>
      </c>
      <c r="G172">
        <v>286.14001464843699</v>
      </c>
      <c r="H172">
        <v>20987900</v>
      </c>
      <c r="I172" s="3">
        <f t="shared" si="6"/>
        <v>-1.2765600801138755E-2</v>
      </c>
      <c r="J172">
        <f t="shared" ca="1" si="7"/>
        <v>286.80428641182982</v>
      </c>
      <c r="K172">
        <f t="shared" ca="1" si="8"/>
        <v>1.82124883084307E-2</v>
      </c>
    </row>
    <row r="173" spans="1:11">
      <c r="A173" t="s">
        <v>13</v>
      </c>
      <c r="B173" s="1">
        <v>45033</v>
      </c>
      <c r="C173">
        <v>289.92999267578102</v>
      </c>
      <c r="D173">
        <v>291.600006103515</v>
      </c>
      <c r="E173">
        <v>286.16000366210898</v>
      </c>
      <c r="F173">
        <v>288.79998779296801</v>
      </c>
      <c r="G173">
        <v>288.79998779296801</v>
      </c>
      <c r="H173">
        <v>23836200</v>
      </c>
      <c r="I173" s="3">
        <f t="shared" si="6"/>
        <v>9.2960544081861496E-3</v>
      </c>
      <c r="J173">
        <f t="shared" ca="1" si="7"/>
        <v>287.44142804826959</v>
      </c>
      <c r="K173">
        <f t="shared" ca="1" si="8"/>
        <v>1.7984514309805834E-2</v>
      </c>
    </row>
    <row r="174" spans="1:11">
      <c r="A174" t="s">
        <v>13</v>
      </c>
      <c r="B174" s="1">
        <v>45034</v>
      </c>
      <c r="C174">
        <v>291.57000732421801</v>
      </c>
      <c r="D174">
        <v>291.760009765625</v>
      </c>
      <c r="E174">
        <v>287.010009765625</v>
      </c>
      <c r="F174">
        <v>288.36999511718699</v>
      </c>
      <c r="G174">
        <v>288.36999511718699</v>
      </c>
      <c r="H174">
        <v>20161800</v>
      </c>
      <c r="I174" s="3">
        <f t="shared" si="6"/>
        <v>-1.4888943696537149E-3</v>
      </c>
      <c r="J174">
        <f t="shared" ca="1" si="7"/>
        <v>286.9799979073656</v>
      </c>
      <c r="K174">
        <f t="shared" ca="1" si="8"/>
        <v>1.4800915475512294E-2</v>
      </c>
    </row>
    <row r="175" spans="1:11">
      <c r="A175" t="s">
        <v>13</v>
      </c>
      <c r="B175" s="1">
        <v>45035</v>
      </c>
      <c r="C175">
        <v>285.989990234375</v>
      </c>
      <c r="D175">
        <v>289.04998779296801</v>
      </c>
      <c r="E175">
        <v>284.54000854492102</v>
      </c>
      <c r="F175">
        <v>288.45001220703102</v>
      </c>
      <c r="G175">
        <v>288.45001220703102</v>
      </c>
      <c r="H175">
        <v>17150300</v>
      </c>
      <c r="I175" s="3">
        <f t="shared" si="6"/>
        <v>2.7748063667831779E-4</v>
      </c>
      <c r="J175">
        <f t="shared" ca="1" si="7"/>
        <v>286.84571184430757</v>
      </c>
      <c r="K175">
        <f t="shared" ca="1" si="8"/>
        <v>1.4558681037233812E-2</v>
      </c>
    </row>
    <row r="176" spans="1:11">
      <c r="A176" t="s">
        <v>13</v>
      </c>
      <c r="B176" s="1">
        <v>45036</v>
      </c>
      <c r="C176">
        <v>285.25</v>
      </c>
      <c r="D176">
        <v>289.02999877929602</v>
      </c>
      <c r="E176">
        <v>285.079986572265</v>
      </c>
      <c r="F176">
        <v>286.10998535156199</v>
      </c>
      <c r="G176">
        <v>286.10998535156199</v>
      </c>
      <c r="H176">
        <v>23244400</v>
      </c>
      <c r="I176" s="3">
        <f t="shared" si="6"/>
        <v>-8.1124172523504567E-3</v>
      </c>
      <c r="J176">
        <f t="shared" ca="1" si="7"/>
        <v>287.31428309849287</v>
      </c>
      <c r="K176">
        <f t="shared" ca="1" si="8"/>
        <v>1.1577969011745079E-2</v>
      </c>
    </row>
    <row r="177" spans="1:11">
      <c r="A177" t="s">
        <v>13</v>
      </c>
      <c r="B177" s="1">
        <v>45037</v>
      </c>
      <c r="C177">
        <v>285.010009765625</v>
      </c>
      <c r="D177">
        <v>286.26998901367102</v>
      </c>
      <c r="E177">
        <v>283.05999755859301</v>
      </c>
      <c r="F177">
        <v>285.760009765625</v>
      </c>
      <c r="G177">
        <v>285.760009765625</v>
      </c>
      <c r="H177">
        <v>21676400</v>
      </c>
      <c r="I177" s="3">
        <f t="shared" si="6"/>
        <v>-1.2232204531658075E-3</v>
      </c>
      <c r="J177">
        <f t="shared" ca="1" si="7"/>
        <v>287.63857160295714</v>
      </c>
      <c r="K177">
        <f t="shared" ca="1" si="8"/>
        <v>1.1623775852688287E-2</v>
      </c>
    </row>
    <row r="178" spans="1:11">
      <c r="A178" t="s">
        <v>13</v>
      </c>
      <c r="B178" s="1">
        <v>45040</v>
      </c>
      <c r="C178">
        <v>282.08999633789</v>
      </c>
      <c r="D178">
        <v>284.95001220703102</v>
      </c>
      <c r="E178">
        <v>278.72000122070301</v>
      </c>
      <c r="F178">
        <v>281.76998901367102</v>
      </c>
      <c r="G178">
        <v>281.76998901367102</v>
      </c>
      <c r="H178">
        <v>26611000</v>
      </c>
      <c r="I178" s="3">
        <f t="shared" si="6"/>
        <v>-1.3962838100497366E-2</v>
      </c>
      <c r="J178">
        <f t="shared" ca="1" si="7"/>
        <v>286.485713413783</v>
      </c>
      <c r="K178">
        <f t="shared" ca="1" si="8"/>
        <v>8.1864102351457795E-3</v>
      </c>
    </row>
    <row r="179" spans="1:11">
      <c r="A179" t="s">
        <v>13</v>
      </c>
      <c r="B179" s="1">
        <v>45041</v>
      </c>
      <c r="C179">
        <v>279.510009765625</v>
      </c>
      <c r="D179">
        <v>281.600006103515</v>
      </c>
      <c r="E179">
        <v>275.36999511718699</v>
      </c>
      <c r="F179">
        <v>275.42001342773398</v>
      </c>
      <c r="G179">
        <v>275.42001342773398</v>
      </c>
      <c r="H179">
        <v>45772200</v>
      </c>
      <c r="I179" s="3">
        <f t="shared" si="6"/>
        <v>-2.2536025245857405E-2</v>
      </c>
      <c r="J179">
        <f t="shared" ca="1" si="7"/>
        <v>284.95428466796824</v>
      </c>
      <c r="K179">
        <f t="shared" ca="1" si="8"/>
        <v>1.0450458059780461E-2</v>
      </c>
    </row>
    <row r="180" spans="1:11">
      <c r="A180" t="s">
        <v>13</v>
      </c>
      <c r="B180" s="1">
        <v>45042</v>
      </c>
      <c r="C180">
        <v>296.70001220703102</v>
      </c>
      <c r="D180">
        <v>299.57000732421801</v>
      </c>
      <c r="E180">
        <v>292.73001098632801</v>
      </c>
      <c r="F180">
        <v>295.36999511718699</v>
      </c>
      <c r="G180">
        <v>295.36999511718699</v>
      </c>
      <c r="H180">
        <v>64599200</v>
      </c>
      <c r="I180" s="3">
        <f t="shared" si="6"/>
        <v>7.2434756796232458E-2</v>
      </c>
      <c r="J180">
        <f t="shared" ca="1" si="7"/>
        <v>285.89285714285671</v>
      </c>
      <c r="K180">
        <f t="shared" ca="1" si="8"/>
        <v>3.1430197530344393E-2</v>
      </c>
    </row>
    <row r="181" spans="1:11">
      <c r="A181" t="s">
        <v>13</v>
      </c>
      <c r="B181" s="1">
        <v>45043</v>
      </c>
      <c r="C181">
        <v>295.97000122070301</v>
      </c>
      <c r="D181">
        <v>305.20001220703102</v>
      </c>
      <c r="E181">
        <v>295.25</v>
      </c>
      <c r="F181">
        <v>304.829986572265</v>
      </c>
      <c r="G181">
        <v>304.829986572265</v>
      </c>
      <c r="H181">
        <v>46462600</v>
      </c>
      <c r="I181" s="3">
        <f t="shared" si="6"/>
        <v>3.2027597966830745E-2</v>
      </c>
      <c r="J181">
        <f t="shared" ca="1" si="7"/>
        <v>288.24428449358214</v>
      </c>
      <c r="K181">
        <f t="shared" ca="1" si="8"/>
        <v>3.3033033165613901E-2</v>
      </c>
    </row>
    <row r="182" spans="1:11">
      <c r="A182" t="s">
        <v>13</v>
      </c>
      <c r="B182" s="1">
        <v>45044</v>
      </c>
      <c r="C182">
        <v>304.010009765625</v>
      </c>
      <c r="D182">
        <v>308.92999267578102</v>
      </c>
      <c r="E182">
        <v>303.30999755859301</v>
      </c>
      <c r="F182">
        <v>307.260009765625</v>
      </c>
      <c r="G182">
        <v>307.260009765625</v>
      </c>
      <c r="H182">
        <v>36446700</v>
      </c>
      <c r="I182" s="3">
        <f t="shared" si="6"/>
        <v>7.9717327704043051E-3</v>
      </c>
      <c r="J182">
        <f t="shared" ca="1" si="7"/>
        <v>290.93142700195273</v>
      </c>
      <c r="K182">
        <f t="shared" ca="1" si="8"/>
        <v>3.2844600902689078E-2</v>
      </c>
    </row>
    <row r="183" spans="1:11">
      <c r="A183" t="s">
        <v>13</v>
      </c>
      <c r="B183" s="1">
        <v>45047</v>
      </c>
      <c r="C183">
        <v>306.97000122070301</v>
      </c>
      <c r="D183">
        <v>308.600006103515</v>
      </c>
      <c r="E183">
        <v>305.14999389648398</v>
      </c>
      <c r="F183">
        <v>305.55999755859301</v>
      </c>
      <c r="G183">
        <v>305.55999755859301</v>
      </c>
      <c r="H183">
        <v>21294100</v>
      </c>
      <c r="I183" s="3">
        <f t="shared" si="6"/>
        <v>-5.5328130996570302E-3</v>
      </c>
      <c r="J183">
        <f t="shared" ca="1" si="7"/>
        <v>293.7100001743857</v>
      </c>
      <c r="K183">
        <f t="shared" ca="1" si="8"/>
        <v>3.2627623925766146E-2</v>
      </c>
    </row>
    <row r="184" spans="1:11">
      <c r="A184" t="s">
        <v>13</v>
      </c>
      <c r="B184" s="1">
        <v>45048</v>
      </c>
      <c r="C184">
        <v>307.760009765625</v>
      </c>
      <c r="D184">
        <v>309.17999267578102</v>
      </c>
      <c r="E184">
        <v>303.91000366210898</v>
      </c>
      <c r="F184">
        <v>305.41000366210898</v>
      </c>
      <c r="G184">
        <v>305.41000366210898</v>
      </c>
      <c r="H184">
        <v>26404400</v>
      </c>
      <c r="I184" s="3">
        <f t="shared" si="6"/>
        <v>-4.9088197958657709E-4</v>
      </c>
      <c r="J184">
        <f t="shared" ca="1" si="7"/>
        <v>296.51714215959771</v>
      </c>
      <c r="K184">
        <f t="shared" ca="1" si="8"/>
        <v>3.2587226828720582E-2</v>
      </c>
    </row>
    <row r="185" spans="1:11">
      <c r="A185" t="s">
        <v>13</v>
      </c>
      <c r="B185" s="1">
        <v>45049</v>
      </c>
      <c r="C185">
        <v>306.61999511718699</v>
      </c>
      <c r="D185">
        <v>308.60998535156199</v>
      </c>
      <c r="E185">
        <v>304.08999633789</v>
      </c>
      <c r="F185">
        <v>304.39999389648398</v>
      </c>
      <c r="G185">
        <v>304.39999389648398</v>
      </c>
      <c r="H185">
        <v>22360800</v>
      </c>
      <c r="I185" s="3">
        <f t="shared" si="6"/>
        <v>-3.3070618300454768E-3</v>
      </c>
      <c r="J185">
        <f t="shared" ca="1" si="7"/>
        <v>299.74999999999955</v>
      </c>
      <c r="K185">
        <f t="shared" ca="1" si="8"/>
        <v>3.1513153216591101E-2</v>
      </c>
    </row>
    <row r="186" spans="1:11">
      <c r="A186" t="s">
        <v>13</v>
      </c>
      <c r="B186" s="1">
        <v>45050</v>
      </c>
      <c r="C186">
        <v>306.239990234375</v>
      </c>
      <c r="D186">
        <v>307.760009765625</v>
      </c>
      <c r="E186">
        <v>303.39999389648398</v>
      </c>
      <c r="F186">
        <v>305.41000366210898</v>
      </c>
      <c r="G186">
        <v>305.41000366210898</v>
      </c>
      <c r="H186">
        <v>22519900</v>
      </c>
      <c r="I186" s="3">
        <f t="shared" si="6"/>
        <v>3.3180347762045148E-3</v>
      </c>
      <c r="J186">
        <f t="shared" ca="1" si="7"/>
        <v>304.03428431919599</v>
      </c>
      <c r="K186">
        <f t="shared" ca="1" si="8"/>
        <v>2.819863759200484E-2</v>
      </c>
    </row>
    <row r="187" spans="1:11">
      <c r="A187" t="s">
        <v>13</v>
      </c>
      <c r="B187" s="1">
        <v>45051</v>
      </c>
      <c r="C187">
        <v>305.72000122070301</v>
      </c>
      <c r="D187">
        <v>311.97000122070301</v>
      </c>
      <c r="E187">
        <v>304.26998901367102</v>
      </c>
      <c r="F187">
        <v>310.64999389648398</v>
      </c>
      <c r="G187">
        <v>310.64999389648398</v>
      </c>
      <c r="H187">
        <v>28181200</v>
      </c>
      <c r="I187" s="3">
        <f t="shared" si="6"/>
        <v>1.7157231824574737E-2</v>
      </c>
      <c r="J187">
        <f t="shared" ca="1" si="7"/>
        <v>306.21714128766695</v>
      </c>
      <c r="K187">
        <f t="shared" ca="1" si="8"/>
        <v>1.330923747239068E-2</v>
      </c>
    </row>
    <row r="188" spans="1:11">
      <c r="A188" t="s">
        <v>14</v>
      </c>
      <c r="B188" s="1">
        <v>44964</v>
      </c>
      <c r="C188">
        <v>358.510009765625</v>
      </c>
      <c r="D188">
        <v>364.17999267578102</v>
      </c>
      <c r="E188">
        <v>354.17999267578102</v>
      </c>
      <c r="F188">
        <v>362.95001220703102</v>
      </c>
      <c r="G188">
        <v>362.95001220703102</v>
      </c>
      <c r="H188">
        <v>6289400</v>
      </c>
      <c r="I188" s="3">
        <f t="shared" si="6"/>
        <v>0.168356733745743</v>
      </c>
      <c r="J188">
        <f t="shared" ca="1" si="7"/>
        <v>314.52000209263355</v>
      </c>
      <c r="K188">
        <f t="shared" ca="1" si="8"/>
        <v>6.2893871049678834E-2</v>
      </c>
    </row>
    <row r="189" spans="1:11">
      <c r="A189" t="s">
        <v>14</v>
      </c>
      <c r="B189" s="1">
        <v>44965</v>
      </c>
      <c r="C189">
        <v>360.01998901367102</v>
      </c>
      <c r="D189">
        <v>368.19000244140602</v>
      </c>
      <c r="E189">
        <v>358.30999755859301</v>
      </c>
      <c r="F189">
        <v>366.829986572265</v>
      </c>
      <c r="G189">
        <v>366.829986572265</v>
      </c>
      <c r="H189">
        <v>6253200</v>
      </c>
      <c r="I189" s="3">
        <f t="shared" si="6"/>
        <v>1.0690106721971349E-2</v>
      </c>
      <c r="J189">
        <f t="shared" ca="1" si="7"/>
        <v>323.02999877929642</v>
      </c>
      <c r="K189">
        <f t="shared" ca="1" si="8"/>
        <v>6.2766634068680965E-2</v>
      </c>
    </row>
    <row r="190" spans="1:11">
      <c r="A190" t="s">
        <v>14</v>
      </c>
      <c r="B190" s="1">
        <v>44966</v>
      </c>
      <c r="C190">
        <v>372.41000366210898</v>
      </c>
      <c r="D190">
        <v>373.829986572265</v>
      </c>
      <c r="E190">
        <v>361.739990234375</v>
      </c>
      <c r="F190">
        <v>362.5</v>
      </c>
      <c r="G190">
        <v>362.5</v>
      </c>
      <c r="H190">
        <v>6901100</v>
      </c>
      <c r="I190" s="3">
        <f t="shared" si="6"/>
        <v>-1.1803796665385224E-2</v>
      </c>
      <c r="J190">
        <f t="shared" ca="1" si="7"/>
        <v>331.1642848423545</v>
      </c>
      <c r="K190">
        <f t="shared" ca="1" si="8"/>
        <v>6.3353202344935078E-2</v>
      </c>
    </row>
    <row r="191" spans="1:11">
      <c r="A191" t="s">
        <v>14</v>
      </c>
      <c r="B191" s="1">
        <v>44967</v>
      </c>
      <c r="C191">
        <v>359.16000366210898</v>
      </c>
      <c r="D191">
        <v>362.14001464843699</v>
      </c>
      <c r="E191">
        <v>347.14001464843699</v>
      </c>
      <c r="F191">
        <v>347.35998535156199</v>
      </c>
      <c r="G191">
        <v>347.35998535156199</v>
      </c>
      <c r="H191">
        <v>7291100</v>
      </c>
      <c r="I191" s="3">
        <f t="shared" si="6"/>
        <v>-4.1765557650863427E-2</v>
      </c>
      <c r="J191">
        <f t="shared" ca="1" si="7"/>
        <v>337.15713936941927</v>
      </c>
      <c r="K191">
        <f t="shared" ca="1" si="8"/>
        <v>6.8009127605827946E-2</v>
      </c>
    </row>
    <row r="192" spans="1:11">
      <c r="A192" t="s">
        <v>14</v>
      </c>
      <c r="B192" s="1">
        <v>44970</v>
      </c>
      <c r="C192">
        <v>349.5</v>
      </c>
      <c r="D192">
        <v>359.70001220703102</v>
      </c>
      <c r="E192">
        <v>344.25</v>
      </c>
      <c r="F192">
        <v>358.57000732421801</v>
      </c>
      <c r="G192">
        <v>358.57000732421801</v>
      </c>
      <c r="H192">
        <v>7134400</v>
      </c>
      <c r="I192" s="3">
        <f t="shared" si="6"/>
        <v>3.2272059089680116E-2</v>
      </c>
      <c r="J192">
        <f t="shared" ca="1" si="7"/>
        <v>344.89571271623839</v>
      </c>
      <c r="K192">
        <f t="shared" ca="1" si="8"/>
        <v>6.7269481856082766E-2</v>
      </c>
    </row>
    <row r="193" spans="1:11">
      <c r="A193" t="s">
        <v>14</v>
      </c>
      <c r="B193" s="1">
        <v>44971</v>
      </c>
      <c r="C193">
        <v>357.54998779296801</v>
      </c>
      <c r="D193">
        <v>363.75</v>
      </c>
      <c r="E193">
        <v>353.39999389648398</v>
      </c>
      <c r="F193">
        <v>359.95999145507801</v>
      </c>
      <c r="G193">
        <v>359.95999145507801</v>
      </c>
      <c r="H193">
        <v>4624800</v>
      </c>
      <c r="I193" s="3">
        <f t="shared" si="6"/>
        <v>3.8764651322418242E-3</v>
      </c>
      <c r="J193">
        <f t="shared" ca="1" si="7"/>
        <v>352.68856811523398</v>
      </c>
      <c r="K193">
        <f t="shared" ca="1" si="8"/>
        <v>6.7239170344357779E-2</v>
      </c>
    </row>
    <row r="194" spans="1:11">
      <c r="A194" t="s">
        <v>14</v>
      </c>
      <c r="B194" s="1">
        <v>44972</v>
      </c>
      <c r="C194">
        <v>356.63000488281199</v>
      </c>
      <c r="D194">
        <v>362.88000488281199</v>
      </c>
      <c r="E194">
        <v>354.239990234375</v>
      </c>
      <c r="F194">
        <v>361.42001342773398</v>
      </c>
      <c r="G194">
        <v>361.42001342773398</v>
      </c>
      <c r="H194">
        <v>3966000</v>
      </c>
      <c r="I194" s="3">
        <f t="shared" si="6"/>
        <v>4.0560673611367282E-3</v>
      </c>
      <c r="J194">
        <f t="shared" ca="1" si="7"/>
        <v>359.9414280482697</v>
      </c>
      <c r="K194">
        <f t="shared" ca="1" si="8"/>
        <v>6.7692216187432305E-2</v>
      </c>
    </row>
    <row r="195" spans="1:11">
      <c r="A195" t="s">
        <v>14</v>
      </c>
      <c r="B195" s="1">
        <v>44973</v>
      </c>
      <c r="C195">
        <v>355</v>
      </c>
      <c r="D195">
        <v>361.5</v>
      </c>
      <c r="E195">
        <v>350.30999755859301</v>
      </c>
      <c r="F195">
        <v>350.70999145507801</v>
      </c>
      <c r="G195">
        <v>350.70999145507801</v>
      </c>
      <c r="H195">
        <v>5215700</v>
      </c>
      <c r="I195" s="3">
        <f t="shared" si="6"/>
        <v>-2.9633173523185175E-2</v>
      </c>
      <c r="J195">
        <f t="shared" ca="1" si="7"/>
        <v>358.1928536551336</v>
      </c>
      <c r="K195">
        <f t="shared" ca="1" si="8"/>
        <v>2.5165934468009087E-2</v>
      </c>
    </row>
    <row r="196" spans="1:11">
      <c r="A196" t="s">
        <v>14</v>
      </c>
      <c r="B196" s="1">
        <v>44974</v>
      </c>
      <c r="C196">
        <v>347.91000366210898</v>
      </c>
      <c r="D196">
        <v>349</v>
      </c>
      <c r="E196">
        <v>342.44000244140602</v>
      </c>
      <c r="F196">
        <v>347.95999145507801</v>
      </c>
      <c r="G196">
        <v>347.95999145507801</v>
      </c>
      <c r="H196">
        <v>5294700</v>
      </c>
      <c r="I196" s="3">
        <f t="shared" ref="I196:I249" si="9">(G196/G195)-1</f>
        <v>-7.8412365401692163E-3</v>
      </c>
      <c r="J196">
        <f t="shared" ca="1" si="7"/>
        <v>355.49714006696405</v>
      </c>
      <c r="K196">
        <f t="shared" ca="1" si="8"/>
        <v>2.4245392022221653E-2</v>
      </c>
    </row>
    <row r="197" spans="1:11">
      <c r="A197" t="s">
        <v>14</v>
      </c>
      <c r="B197" s="1">
        <v>44978</v>
      </c>
      <c r="C197">
        <v>342.850006103515</v>
      </c>
      <c r="D197">
        <v>344.13000488281199</v>
      </c>
      <c r="E197">
        <v>336.42001342773398</v>
      </c>
      <c r="F197">
        <v>337.5</v>
      </c>
      <c r="G197">
        <v>337.5</v>
      </c>
      <c r="H197">
        <v>5710300</v>
      </c>
      <c r="I197" s="3">
        <f t="shared" si="9"/>
        <v>-3.0060902724296179E-2</v>
      </c>
      <c r="J197">
        <f t="shared" ca="1" si="7"/>
        <v>351.92571149553544</v>
      </c>
      <c r="K197">
        <f t="shared" ca="1" si="8"/>
        <v>2.5750572336778459E-2</v>
      </c>
    </row>
    <row r="198" spans="1:11">
      <c r="A198" t="s">
        <v>14</v>
      </c>
      <c r="B198" s="1">
        <v>44979</v>
      </c>
      <c r="C198">
        <v>337.5</v>
      </c>
      <c r="D198">
        <v>341.91000366210898</v>
      </c>
      <c r="E198">
        <v>332.82000732421801</v>
      </c>
      <c r="F198">
        <v>334.88000488281199</v>
      </c>
      <c r="G198">
        <v>334.88000488281199</v>
      </c>
      <c r="H198">
        <v>4546200</v>
      </c>
      <c r="I198" s="3">
        <f t="shared" si="9"/>
        <v>-7.7629484953718464E-3</v>
      </c>
      <c r="J198">
        <f t="shared" ca="1" si="7"/>
        <v>350.14285714285688</v>
      </c>
      <c r="K198">
        <f t="shared" ca="1" si="8"/>
        <v>2.1604620328735356E-2</v>
      </c>
    </row>
    <row r="199" spans="1:11">
      <c r="A199" t="s">
        <v>14</v>
      </c>
      <c r="B199" s="1">
        <v>44980</v>
      </c>
      <c r="C199">
        <v>331.23001098632801</v>
      </c>
      <c r="D199">
        <v>331.27999877929602</v>
      </c>
      <c r="E199">
        <v>314.29998779296801</v>
      </c>
      <c r="F199">
        <v>323.64999389648398</v>
      </c>
      <c r="G199">
        <v>323.64999389648398</v>
      </c>
      <c r="H199">
        <v>13238700</v>
      </c>
      <c r="I199" s="3">
        <f t="shared" si="9"/>
        <v>-3.3534432700028871E-2</v>
      </c>
      <c r="J199">
        <f t="shared" ca="1" si="7"/>
        <v>345.15428379603776</v>
      </c>
      <c r="K199">
        <f t="shared" ca="1" si="8"/>
        <v>1.6356252434752552E-2</v>
      </c>
    </row>
    <row r="200" spans="1:11">
      <c r="A200" t="s">
        <v>14</v>
      </c>
      <c r="B200" s="1">
        <v>44981</v>
      </c>
      <c r="C200">
        <v>319.29998779296801</v>
      </c>
      <c r="D200">
        <v>321.5</v>
      </c>
      <c r="E200">
        <v>314.51998901367102</v>
      </c>
      <c r="F200">
        <v>317.14999389648398</v>
      </c>
      <c r="G200">
        <v>317.14999389648398</v>
      </c>
      <c r="H200">
        <v>6830700</v>
      </c>
      <c r="I200" s="3">
        <f t="shared" si="9"/>
        <v>-2.0083423829999947E-2</v>
      </c>
      <c r="J200">
        <f t="shared" ca="1" si="7"/>
        <v>339.03856985909573</v>
      </c>
      <c r="K200">
        <f t="shared" ca="1" si="8"/>
        <v>1.4263809216466345E-2</v>
      </c>
    </row>
    <row r="201" spans="1:11">
      <c r="A201" t="s">
        <v>14</v>
      </c>
      <c r="B201" s="1">
        <v>44984</v>
      </c>
      <c r="C201">
        <v>323.86999511718699</v>
      </c>
      <c r="D201">
        <v>330</v>
      </c>
      <c r="E201">
        <v>322.11999511718699</v>
      </c>
      <c r="F201">
        <v>323.02999877929602</v>
      </c>
      <c r="G201">
        <v>323.02999877929602</v>
      </c>
      <c r="H201">
        <v>6142600</v>
      </c>
      <c r="I201" s="3">
        <f t="shared" si="9"/>
        <v>1.8540138722913602E-2</v>
      </c>
      <c r="J201">
        <f t="shared" ref="J201:J249" ca="1" si="10">AVERAGE(OFFSET(G201,-6,0,7,1))</f>
        <v>333.55428205217601</v>
      </c>
      <c r="K201">
        <f t="shared" ref="K201:K249" ca="1" si="11">STDEV(OFFSET(I201,-6,0,7,1))</f>
        <v>1.8415400846401607E-2</v>
      </c>
    </row>
    <row r="202" spans="1:11">
      <c r="A202" t="s">
        <v>14</v>
      </c>
      <c r="B202" s="1">
        <v>44985</v>
      </c>
      <c r="C202">
        <v>323.70001220703102</v>
      </c>
      <c r="D202">
        <v>327.61999511718699</v>
      </c>
      <c r="E202">
        <v>321.17001342773398</v>
      </c>
      <c r="F202">
        <v>322.13000488281199</v>
      </c>
      <c r="G202">
        <v>322.13000488281199</v>
      </c>
      <c r="H202">
        <v>3676100</v>
      </c>
      <c r="I202" s="3">
        <f t="shared" si="9"/>
        <v>-2.7861000522707569E-3</v>
      </c>
      <c r="J202">
        <f t="shared" ca="1" si="10"/>
        <v>329.47142682756652</v>
      </c>
      <c r="K202">
        <f t="shared" ca="1" si="11"/>
        <v>1.7832937596386E-2</v>
      </c>
    </row>
    <row r="203" spans="1:11">
      <c r="A203" t="s">
        <v>14</v>
      </c>
      <c r="B203" s="1">
        <v>44986</v>
      </c>
      <c r="C203">
        <v>321.54998779296801</v>
      </c>
      <c r="D203">
        <v>326.600006103515</v>
      </c>
      <c r="E203">
        <v>312.35998535156199</v>
      </c>
      <c r="F203">
        <v>313.48001098632801</v>
      </c>
      <c r="G203">
        <v>313.48001098632801</v>
      </c>
      <c r="H203">
        <v>4911300</v>
      </c>
      <c r="I203" s="3">
        <f t="shared" si="9"/>
        <v>-2.685249360620956E-2</v>
      </c>
      <c r="J203">
        <f t="shared" ca="1" si="10"/>
        <v>324.54571533203085</v>
      </c>
      <c r="K203">
        <f t="shared" ca="1" si="11"/>
        <v>1.8539640237988868E-2</v>
      </c>
    </row>
    <row r="204" spans="1:11">
      <c r="A204" t="s">
        <v>14</v>
      </c>
      <c r="B204" s="1">
        <v>44987</v>
      </c>
      <c r="C204">
        <v>310.95999145507801</v>
      </c>
      <c r="D204">
        <v>315.57000732421801</v>
      </c>
      <c r="E204">
        <v>310.38000488281199</v>
      </c>
      <c r="F204">
        <v>311.88000488281199</v>
      </c>
      <c r="G204">
        <v>311.88000488281199</v>
      </c>
      <c r="H204">
        <v>4911000</v>
      </c>
      <c r="I204" s="3">
        <f t="shared" si="9"/>
        <v>-5.1040131665230914E-3</v>
      </c>
      <c r="J204">
        <f t="shared" ca="1" si="10"/>
        <v>320.88571602957546</v>
      </c>
      <c r="K204">
        <f t="shared" ca="1" si="11"/>
        <v>1.7449409299216831E-2</v>
      </c>
    </row>
    <row r="205" spans="1:11">
      <c r="A205" t="s">
        <v>14</v>
      </c>
      <c r="B205" s="1">
        <v>44988</v>
      </c>
      <c r="C205">
        <v>315.45001220703102</v>
      </c>
      <c r="D205">
        <v>317.489990234375</v>
      </c>
      <c r="E205">
        <v>310.82000732421801</v>
      </c>
      <c r="F205">
        <v>315.17999267578102</v>
      </c>
      <c r="G205">
        <v>315.17999267578102</v>
      </c>
      <c r="H205">
        <v>5953300</v>
      </c>
      <c r="I205" s="3">
        <f t="shared" si="9"/>
        <v>1.0580953383686698E-2</v>
      </c>
      <c r="J205">
        <f t="shared" ca="1" si="10"/>
        <v>318.07142857142816</v>
      </c>
      <c r="K205">
        <f t="shared" ca="1" si="11"/>
        <v>1.9309480008826846E-2</v>
      </c>
    </row>
    <row r="206" spans="1:11">
      <c r="A206" t="s">
        <v>14</v>
      </c>
      <c r="B206" s="1">
        <v>44991</v>
      </c>
      <c r="C206">
        <v>317</v>
      </c>
      <c r="D206">
        <v>323.29998779296801</v>
      </c>
      <c r="E206">
        <v>311.83999633789</v>
      </c>
      <c r="F206">
        <v>312.02999877929602</v>
      </c>
      <c r="G206">
        <v>312.02999877929602</v>
      </c>
      <c r="H206">
        <v>5660700</v>
      </c>
      <c r="I206" s="3">
        <f t="shared" si="9"/>
        <v>-9.9942698448036715E-3</v>
      </c>
      <c r="J206">
        <f t="shared" ca="1" si="10"/>
        <v>316.41142926897277</v>
      </c>
      <c r="K206">
        <f t="shared" ca="1" si="11"/>
        <v>1.5977747295928973E-2</v>
      </c>
    </row>
    <row r="207" spans="1:11">
      <c r="A207" t="s">
        <v>14</v>
      </c>
      <c r="B207" s="1">
        <v>44992</v>
      </c>
      <c r="C207">
        <v>312.67999267578102</v>
      </c>
      <c r="D207">
        <v>314.29998779296801</v>
      </c>
      <c r="E207">
        <v>306.61999511718699</v>
      </c>
      <c r="F207">
        <v>308.47000122070301</v>
      </c>
      <c r="G207">
        <v>308.47000122070301</v>
      </c>
      <c r="H207">
        <v>4553100</v>
      </c>
      <c r="I207" s="3">
        <f t="shared" si="9"/>
        <v>-1.1409151596065148E-2</v>
      </c>
      <c r="J207">
        <f t="shared" ca="1" si="10"/>
        <v>315.17143031528974</v>
      </c>
      <c r="K207">
        <f t="shared" ca="1" si="11"/>
        <v>1.4923593704778458E-2</v>
      </c>
    </row>
    <row r="208" spans="1:11">
      <c r="A208" t="s">
        <v>14</v>
      </c>
      <c r="B208" s="1">
        <v>44993</v>
      </c>
      <c r="C208">
        <v>309.29000854492102</v>
      </c>
      <c r="D208">
        <v>311.829986572265</v>
      </c>
      <c r="E208">
        <v>305.75</v>
      </c>
      <c r="F208">
        <v>311.79000854492102</v>
      </c>
      <c r="G208">
        <v>311.79000854492102</v>
      </c>
      <c r="H208">
        <v>3479500</v>
      </c>
      <c r="I208" s="3">
        <f t="shared" si="9"/>
        <v>1.0762820731610168E-2</v>
      </c>
      <c r="J208">
        <f t="shared" ca="1" si="10"/>
        <v>313.56571742466474</v>
      </c>
      <c r="K208">
        <f t="shared" ca="1" si="11"/>
        <v>1.3163653517351971E-2</v>
      </c>
    </row>
    <row r="209" spans="1:11">
      <c r="A209" t="s">
        <v>14</v>
      </c>
      <c r="B209" s="1">
        <v>44994</v>
      </c>
      <c r="C209">
        <v>312.079986572265</v>
      </c>
      <c r="D209">
        <v>312.510009765625</v>
      </c>
      <c r="E209">
        <v>294.88000488281199</v>
      </c>
      <c r="F209">
        <v>297.77999877929602</v>
      </c>
      <c r="G209">
        <v>297.77999877929602</v>
      </c>
      <c r="H209">
        <v>7443400</v>
      </c>
      <c r="I209" s="3">
        <f t="shared" si="9"/>
        <v>-4.493412034275146E-2</v>
      </c>
      <c r="J209">
        <f t="shared" ca="1" si="10"/>
        <v>310.08714512416242</v>
      </c>
      <c r="K209">
        <f t="shared" ca="1" si="11"/>
        <v>1.9908646353604963E-2</v>
      </c>
    </row>
    <row r="210" spans="1:11">
      <c r="A210" t="s">
        <v>14</v>
      </c>
      <c r="B210" s="1">
        <v>44995</v>
      </c>
      <c r="C210">
        <v>297.89999389648398</v>
      </c>
      <c r="D210">
        <v>298.79000854492102</v>
      </c>
      <c r="E210">
        <v>289</v>
      </c>
      <c r="F210">
        <v>292.760009765625</v>
      </c>
      <c r="G210">
        <v>292.760009765625</v>
      </c>
      <c r="H210">
        <v>5759300</v>
      </c>
      <c r="I210" s="3">
        <f t="shared" si="9"/>
        <v>-1.6858046323627196E-2</v>
      </c>
      <c r="J210">
        <f t="shared" ca="1" si="10"/>
        <v>307.12714494977627</v>
      </c>
      <c r="K210">
        <f t="shared" ca="1" si="11"/>
        <v>1.8915287041052293E-2</v>
      </c>
    </row>
    <row r="211" spans="1:11">
      <c r="A211" t="s">
        <v>14</v>
      </c>
      <c r="B211" s="1">
        <v>44998</v>
      </c>
      <c r="C211">
        <v>287.33999633789</v>
      </c>
      <c r="D211">
        <v>299.239990234375</v>
      </c>
      <c r="E211">
        <v>285.329986572265</v>
      </c>
      <c r="F211">
        <v>293.510009765625</v>
      </c>
      <c r="G211">
        <v>293.510009765625</v>
      </c>
      <c r="H211">
        <v>6292400</v>
      </c>
      <c r="I211" s="3">
        <f t="shared" si="9"/>
        <v>2.5618253005266212E-3</v>
      </c>
      <c r="J211">
        <f t="shared" ca="1" si="10"/>
        <v>304.50285993303532</v>
      </c>
      <c r="K211">
        <f t="shared" ca="1" si="11"/>
        <v>1.943148129430429E-2</v>
      </c>
    </row>
    <row r="212" spans="1:11">
      <c r="A212" t="s">
        <v>14</v>
      </c>
      <c r="B212" s="1">
        <v>44999</v>
      </c>
      <c r="C212">
        <v>295.97000122070301</v>
      </c>
      <c r="D212">
        <v>297.45001220703102</v>
      </c>
      <c r="E212">
        <v>290.30999755859301</v>
      </c>
      <c r="F212">
        <v>294.94000244140602</v>
      </c>
      <c r="G212">
        <v>294.94000244140602</v>
      </c>
      <c r="H212">
        <v>5956700</v>
      </c>
      <c r="I212" s="3">
        <f t="shared" si="9"/>
        <v>4.872040571709757E-3</v>
      </c>
      <c r="J212">
        <f t="shared" ca="1" si="10"/>
        <v>301.61143275669605</v>
      </c>
      <c r="K212">
        <f t="shared" ca="1" si="11"/>
        <v>1.860067237543701E-2</v>
      </c>
    </row>
    <row r="213" spans="1:11">
      <c r="A213" t="s">
        <v>14</v>
      </c>
      <c r="B213" s="1">
        <v>45000</v>
      </c>
      <c r="C213">
        <v>292.510009765625</v>
      </c>
      <c r="D213">
        <v>306.30999755859301</v>
      </c>
      <c r="E213">
        <v>292.27999877929602</v>
      </c>
      <c r="F213">
        <v>303.79000854492102</v>
      </c>
      <c r="G213">
        <v>303.79000854492102</v>
      </c>
      <c r="H213">
        <v>9215300</v>
      </c>
      <c r="I213" s="3">
        <f t="shared" si="9"/>
        <v>3.0006123381900895E-2</v>
      </c>
      <c r="J213">
        <f t="shared" ca="1" si="10"/>
        <v>300.43429129464249</v>
      </c>
      <c r="K213">
        <f t="shared" ca="1" si="11"/>
        <v>2.377207064408679E-2</v>
      </c>
    </row>
    <row r="214" spans="1:11">
      <c r="A214" t="s">
        <v>14</v>
      </c>
      <c r="B214" s="1">
        <v>45001</v>
      </c>
      <c r="C214">
        <v>304.75</v>
      </c>
      <c r="D214">
        <v>316.600006103515</v>
      </c>
      <c r="E214">
        <v>301.70999145507801</v>
      </c>
      <c r="F214">
        <v>310.05999755859301</v>
      </c>
      <c r="G214">
        <v>310.05999755859301</v>
      </c>
      <c r="H214">
        <v>7903700</v>
      </c>
      <c r="I214" s="3">
        <f t="shared" si="9"/>
        <v>2.0639220636990974E-2</v>
      </c>
      <c r="J214">
        <f t="shared" ca="1" si="10"/>
        <v>300.6614336286267</v>
      </c>
      <c r="K214">
        <f t="shared" ca="1" si="11"/>
        <v>2.50620952865994E-2</v>
      </c>
    </row>
    <row r="215" spans="1:11">
      <c r="A215" t="s">
        <v>14</v>
      </c>
      <c r="B215" s="1">
        <v>45002</v>
      </c>
      <c r="C215">
        <v>310.05999755859301</v>
      </c>
      <c r="D215">
        <v>310.760009765625</v>
      </c>
      <c r="E215">
        <v>300</v>
      </c>
      <c r="F215">
        <v>303.5</v>
      </c>
      <c r="G215">
        <v>303.5</v>
      </c>
      <c r="H215">
        <v>6918800</v>
      </c>
      <c r="I215" s="3">
        <f t="shared" si="9"/>
        <v>-2.1157187674147981E-2</v>
      </c>
      <c r="J215">
        <f t="shared" ca="1" si="10"/>
        <v>299.47714669363802</v>
      </c>
      <c r="K215">
        <f t="shared" ca="1" si="11"/>
        <v>2.5881716521702527E-2</v>
      </c>
    </row>
    <row r="216" spans="1:11">
      <c r="A216" t="s">
        <v>14</v>
      </c>
      <c r="B216" s="1">
        <v>45005</v>
      </c>
      <c r="C216">
        <v>299.79000854492102</v>
      </c>
      <c r="D216">
        <v>307.5</v>
      </c>
      <c r="E216">
        <v>296</v>
      </c>
      <c r="F216">
        <v>305.13000488281199</v>
      </c>
      <c r="G216">
        <v>305.13000488281199</v>
      </c>
      <c r="H216">
        <v>5113400</v>
      </c>
      <c r="I216" s="3">
        <f t="shared" si="9"/>
        <v>5.370691541390471E-3</v>
      </c>
      <c r="J216">
        <f t="shared" ca="1" si="10"/>
        <v>300.5271475655689</v>
      </c>
      <c r="K216">
        <f t="shared" ca="1" si="11"/>
        <v>1.8370682115689183E-2</v>
      </c>
    </row>
    <row r="217" spans="1:11">
      <c r="A217" t="s">
        <v>14</v>
      </c>
      <c r="B217" s="1">
        <v>45006</v>
      </c>
      <c r="C217">
        <v>306.32000732421801</v>
      </c>
      <c r="D217">
        <v>307.92001342773398</v>
      </c>
      <c r="E217">
        <v>300.42999267578102</v>
      </c>
      <c r="F217">
        <v>305.79000854492102</v>
      </c>
      <c r="G217">
        <v>305.79000854492102</v>
      </c>
      <c r="H217">
        <v>4886300</v>
      </c>
      <c r="I217" s="3">
        <f t="shared" si="9"/>
        <v>2.1630244536670062E-3</v>
      </c>
      <c r="J217">
        <f t="shared" ca="1" si="10"/>
        <v>302.38857596261113</v>
      </c>
      <c r="K217">
        <f t="shared" ca="1" si="11"/>
        <v>1.6101054881680652E-2</v>
      </c>
    </row>
    <row r="218" spans="1:11">
      <c r="A218" t="s">
        <v>14</v>
      </c>
      <c r="B218" s="1">
        <v>45007</v>
      </c>
      <c r="C218">
        <v>306.30999755859301</v>
      </c>
      <c r="D218">
        <v>306.45001220703102</v>
      </c>
      <c r="E218">
        <v>293.54000854492102</v>
      </c>
      <c r="F218">
        <v>293.89999389648398</v>
      </c>
      <c r="G218">
        <v>293.89999389648398</v>
      </c>
      <c r="H218">
        <v>5808000</v>
      </c>
      <c r="I218" s="3">
        <f t="shared" si="9"/>
        <v>-3.8882940306044667E-2</v>
      </c>
      <c r="J218">
        <f t="shared" ca="1" si="10"/>
        <v>302.44428798130531</v>
      </c>
      <c r="K218">
        <f t="shared" ca="1" si="11"/>
        <v>2.36002088663472E-2</v>
      </c>
    </row>
    <row r="219" spans="1:11">
      <c r="A219" t="s">
        <v>14</v>
      </c>
      <c r="B219" s="1">
        <v>45008</v>
      </c>
      <c r="C219">
        <v>304.67999267578102</v>
      </c>
      <c r="D219">
        <v>322.77999877929602</v>
      </c>
      <c r="E219">
        <v>304.14001464843699</v>
      </c>
      <c r="F219">
        <v>320.36999511718699</v>
      </c>
      <c r="G219">
        <v>320.36999511718699</v>
      </c>
      <c r="H219">
        <v>15653300</v>
      </c>
      <c r="I219" s="3">
        <f t="shared" si="9"/>
        <v>9.0064653863266564E-2</v>
      </c>
      <c r="J219">
        <f t="shared" ca="1" si="10"/>
        <v>306.07714407784539</v>
      </c>
      <c r="K219">
        <f t="shared" ca="1" si="11"/>
        <v>4.1472097080492584E-2</v>
      </c>
    </row>
    <row r="220" spans="1:11">
      <c r="A220" t="s">
        <v>14</v>
      </c>
      <c r="B220" s="1">
        <v>45009</v>
      </c>
      <c r="C220">
        <v>320.63000488281199</v>
      </c>
      <c r="D220">
        <v>331.829986572265</v>
      </c>
      <c r="E220">
        <v>320.63000488281199</v>
      </c>
      <c r="F220">
        <v>328.39001464843699</v>
      </c>
      <c r="G220">
        <v>328.39001464843699</v>
      </c>
      <c r="H220">
        <v>12991700</v>
      </c>
      <c r="I220" s="3">
        <f t="shared" si="9"/>
        <v>2.5033616298294037E-2</v>
      </c>
      <c r="J220">
        <f t="shared" ca="1" si="10"/>
        <v>309.59143066406199</v>
      </c>
      <c r="K220">
        <f t="shared" ca="1" si="11"/>
        <v>4.1165729140827396E-2</v>
      </c>
    </row>
    <row r="221" spans="1:11">
      <c r="A221" t="s">
        <v>14</v>
      </c>
      <c r="B221" s="1">
        <v>45012</v>
      </c>
      <c r="C221">
        <v>327.54998779296801</v>
      </c>
      <c r="D221">
        <v>336.44000244140602</v>
      </c>
      <c r="E221">
        <v>324.41000366210898</v>
      </c>
      <c r="F221">
        <v>327.66000366210898</v>
      </c>
      <c r="G221">
        <v>327.66000366210898</v>
      </c>
      <c r="H221">
        <v>8625800</v>
      </c>
      <c r="I221" s="3">
        <f t="shared" si="9"/>
        <v>-2.2229999505604114E-3</v>
      </c>
      <c r="J221">
        <f t="shared" ca="1" si="10"/>
        <v>312.10571725027859</v>
      </c>
      <c r="K221">
        <f t="shared" ca="1" si="11"/>
        <v>4.1262714715220319E-2</v>
      </c>
    </row>
    <row r="222" spans="1:11">
      <c r="A222" t="s">
        <v>14</v>
      </c>
      <c r="B222" s="1">
        <v>45013</v>
      </c>
      <c r="C222">
        <v>326.05999755859301</v>
      </c>
      <c r="D222">
        <v>333.32000732421801</v>
      </c>
      <c r="E222">
        <v>321.27999877929602</v>
      </c>
      <c r="F222">
        <v>323.51998901367102</v>
      </c>
      <c r="G222">
        <v>323.51998901367102</v>
      </c>
      <c r="H222">
        <v>6489400</v>
      </c>
      <c r="I222" s="3">
        <f t="shared" si="9"/>
        <v>-1.2635093090907823E-2</v>
      </c>
      <c r="J222">
        <f t="shared" ca="1" si="10"/>
        <v>314.96571568080299</v>
      </c>
      <c r="K222">
        <f t="shared" ca="1" si="11"/>
        <v>4.0353278279711011E-2</v>
      </c>
    </row>
    <row r="223" spans="1:11">
      <c r="A223" t="s">
        <v>14</v>
      </c>
      <c r="B223" s="1">
        <v>45014</v>
      </c>
      <c r="C223">
        <v>326.29000854492102</v>
      </c>
      <c r="D223">
        <v>332.850006103515</v>
      </c>
      <c r="E223">
        <v>325.73001098632801</v>
      </c>
      <c r="F223">
        <v>332.02999877929602</v>
      </c>
      <c r="G223">
        <v>332.02999877929602</v>
      </c>
      <c r="H223">
        <v>6287300</v>
      </c>
      <c r="I223" s="3">
        <f t="shared" si="9"/>
        <v>2.6304432661393928E-2</v>
      </c>
      <c r="J223">
        <f t="shared" ca="1" si="10"/>
        <v>318.80857195172928</v>
      </c>
      <c r="K223">
        <f t="shared" ca="1" si="11"/>
        <v>4.0740554424470166E-2</v>
      </c>
    </row>
    <row r="224" spans="1:11">
      <c r="A224" t="s">
        <v>14</v>
      </c>
      <c r="B224" s="1">
        <v>45015</v>
      </c>
      <c r="C224">
        <v>340.26998901367102</v>
      </c>
      <c r="D224">
        <v>343.29000854492102</v>
      </c>
      <c r="E224">
        <v>335.29998779296801</v>
      </c>
      <c r="F224">
        <v>338.42999267578102</v>
      </c>
      <c r="G224">
        <v>338.42999267578102</v>
      </c>
      <c r="H224">
        <v>7131500</v>
      </c>
      <c r="I224" s="3">
        <f t="shared" si="9"/>
        <v>1.9275348372178813E-2</v>
      </c>
      <c r="J224">
        <f t="shared" ca="1" si="10"/>
        <v>323.47142682756646</v>
      </c>
      <c r="K224">
        <f t="shared" ca="1" si="11"/>
        <v>4.0506398394058181E-2</v>
      </c>
    </row>
    <row r="225" spans="1:11">
      <c r="A225" t="s">
        <v>14</v>
      </c>
      <c r="B225" s="1">
        <v>45016</v>
      </c>
      <c r="C225">
        <v>340.04998779296801</v>
      </c>
      <c r="D225">
        <v>345.83999633789</v>
      </c>
      <c r="E225">
        <v>337.20001220703102</v>
      </c>
      <c r="F225">
        <v>345.48001098632801</v>
      </c>
      <c r="G225">
        <v>345.48001098632801</v>
      </c>
      <c r="H225">
        <v>5610200</v>
      </c>
      <c r="I225" s="3">
        <f t="shared" si="9"/>
        <v>2.0831541125555519E-2</v>
      </c>
      <c r="J225">
        <f t="shared" ca="1" si="10"/>
        <v>330.8400006975441</v>
      </c>
      <c r="K225">
        <f t="shared" ca="1" si="11"/>
        <v>3.2743433744481631E-2</v>
      </c>
    </row>
    <row r="226" spans="1:11">
      <c r="A226" t="s">
        <v>14</v>
      </c>
      <c r="B226" s="1">
        <v>45019</v>
      </c>
      <c r="C226">
        <v>341.829986572265</v>
      </c>
      <c r="D226">
        <v>348.579986572265</v>
      </c>
      <c r="E226">
        <v>340.39999389648398</v>
      </c>
      <c r="F226">
        <v>348.27999877929602</v>
      </c>
      <c r="G226">
        <v>348.27999877929602</v>
      </c>
      <c r="H226">
        <v>4413700</v>
      </c>
      <c r="I226" s="3">
        <f t="shared" si="9"/>
        <v>8.1046303807106312E-3</v>
      </c>
      <c r="J226">
        <f t="shared" ca="1" si="10"/>
        <v>334.82714407784539</v>
      </c>
      <c r="K226">
        <f t="shared" ca="1" si="11"/>
        <v>1.4886828060890197E-2</v>
      </c>
    </row>
    <row r="227" spans="1:11">
      <c r="A227" t="s">
        <v>14</v>
      </c>
      <c r="B227" s="1">
        <v>45020</v>
      </c>
      <c r="C227">
        <v>348.489990234375</v>
      </c>
      <c r="D227">
        <v>349.79998779296801</v>
      </c>
      <c r="E227">
        <v>343.95001220703102</v>
      </c>
      <c r="F227">
        <v>346.75</v>
      </c>
      <c r="G227">
        <v>346.75</v>
      </c>
      <c r="H227">
        <v>3298100</v>
      </c>
      <c r="I227" s="3">
        <f t="shared" si="9"/>
        <v>-4.3930136231152828E-3</v>
      </c>
      <c r="J227">
        <f t="shared" ca="1" si="10"/>
        <v>337.44999912806873</v>
      </c>
      <c r="K227">
        <f t="shared" ca="1" si="11"/>
        <v>1.477989346655117E-2</v>
      </c>
    </row>
    <row r="228" spans="1:11">
      <c r="A228" t="s">
        <v>14</v>
      </c>
      <c r="B228" s="1">
        <v>45021</v>
      </c>
      <c r="C228">
        <v>345.29998779296801</v>
      </c>
      <c r="D228">
        <v>345.42999267578102</v>
      </c>
      <c r="E228">
        <v>336.25</v>
      </c>
      <c r="F228">
        <v>342.350006103515</v>
      </c>
      <c r="G228">
        <v>342.350006103515</v>
      </c>
      <c r="H228">
        <v>4205500</v>
      </c>
      <c r="I228" s="3">
        <f t="shared" si="9"/>
        <v>-1.2689239787988416E-2</v>
      </c>
      <c r="J228">
        <f t="shared" ca="1" si="10"/>
        <v>339.54857090541242</v>
      </c>
      <c r="K228">
        <f t="shared" ca="1" si="11"/>
        <v>1.6413201834318127E-2</v>
      </c>
    </row>
    <row r="229" spans="1:11">
      <c r="A229" t="s">
        <v>14</v>
      </c>
      <c r="B229" s="1">
        <v>45022</v>
      </c>
      <c r="C229">
        <v>339.33999633789</v>
      </c>
      <c r="D229">
        <v>340.48001098632801</v>
      </c>
      <c r="E229">
        <v>332.63000488281199</v>
      </c>
      <c r="F229">
        <v>339.329986572265</v>
      </c>
      <c r="G229">
        <v>339.329986572265</v>
      </c>
      <c r="H229">
        <v>4660500</v>
      </c>
      <c r="I229" s="3">
        <f t="shared" si="9"/>
        <v>-8.8214385202518564E-3</v>
      </c>
      <c r="J229">
        <f t="shared" ca="1" si="10"/>
        <v>341.80714198521162</v>
      </c>
      <c r="K229">
        <f t="shared" ca="1" si="11"/>
        <v>1.5724929244742614E-2</v>
      </c>
    </row>
    <row r="230" spans="1:11">
      <c r="A230" t="s">
        <v>14</v>
      </c>
      <c r="B230" s="1">
        <v>45026</v>
      </c>
      <c r="C230">
        <v>335.26998901367102</v>
      </c>
      <c r="D230">
        <v>339.88000488281199</v>
      </c>
      <c r="E230">
        <v>333.35998535156199</v>
      </c>
      <c r="F230">
        <v>338.989990234375</v>
      </c>
      <c r="G230">
        <v>338.989990234375</v>
      </c>
      <c r="H230">
        <v>2657900</v>
      </c>
      <c r="I230" s="3">
        <f t="shared" si="9"/>
        <v>-1.0019637265908932E-3</v>
      </c>
      <c r="J230">
        <f t="shared" ca="1" si="10"/>
        <v>342.80142647879433</v>
      </c>
      <c r="K230">
        <f t="shared" ca="1" si="11"/>
        <v>1.3325825353315465E-2</v>
      </c>
    </row>
    <row r="231" spans="1:11">
      <c r="A231" t="s">
        <v>14</v>
      </c>
      <c r="B231" s="1">
        <v>45027</v>
      </c>
      <c r="C231">
        <v>343.45001220703102</v>
      </c>
      <c r="D231">
        <v>347.14001464843699</v>
      </c>
      <c r="E231">
        <v>337.64001464843699</v>
      </c>
      <c r="F231">
        <v>338.20999145507801</v>
      </c>
      <c r="G231">
        <v>338.20999145507801</v>
      </c>
      <c r="H231">
        <v>4044800</v>
      </c>
      <c r="I231" s="3">
        <f t="shared" si="9"/>
        <v>-2.3009492957526412E-3</v>
      </c>
      <c r="J231">
        <f t="shared" ca="1" si="10"/>
        <v>342.76999773297956</v>
      </c>
      <c r="K231">
        <f t="shared" ca="1" si="11"/>
        <v>1.1284644014111079E-2</v>
      </c>
    </row>
    <row r="232" spans="1:11">
      <c r="A232" t="s">
        <v>14</v>
      </c>
      <c r="B232" s="1">
        <v>45028</v>
      </c>
      <c r="C232">
        <v>340.80999755859301</v>
      </c>
      <c r="D232">
        <v>342.79998779296801</v>
      </c>
      <c r="E232">
        <v>330.04000854492102</v>
      </c>
      <c r="F232">
        <v>331.02999877929602</v>
      </c>
      <c r="G232">
        <v>331.02999877929602</v>
      </c>
      <c r="H232">
        <v>3965400</v>
      </c>
      <c r="I232" s="3">
        <f t="shared" si="9"/>
        <v>-2.1229392558426707E-2</v>
      </c>
      <c r="J232">
        <f t="shared" ca="1" si="10"/>
        <v>340.70571027483214</v>
      </c>
      <c r="K232">
        <f t="shared" ca="1" si="11"/>
        <v>9.3524640402718601E-3</v>
      </c>
    </row>
    <row r="233" spans="1:11">
      <c r="A233" t="s">
        <v>14</v>
      </c>
      <c r="B233" s="1">
        <v>45029</v>
      </c>
      <c r="C233">
        <v>339.989990234375</v>
      </c>
      <c r="D233">
        <v>346.42999267578102</v>
      </c>
      <c r="E233">
        <v>338.75</v>
      </c>
      <c r="F233">
        <v>346.19000244140602</v>
      </c>
      <c r="G233">
        <v>346.19000244140602</v>
      </c>
      <c r="H233">
        <v>7406400</v>
      </c>
      <c r="I233" s="3">
        <f t="shared" si="9"/>
        <v>4.5796464725293529E-2</v>
      </c>
      <c r="J233">
        <f t="shared" ca="1" si="10"/>
        <v>340.40713936941927</v>
      </c>
      <c r="K233">
        <f t="shared" ca="1" si="11"/>
        <v>2.1638544712231783E-2</v>
      </c>
    </row>
    <row r="234" spans="1:11">
      <c r="A234" t="s">
        <v>14</v>
      </c>
      <c r="B234" s="1">
        <v>45030</v>
      </c>
      <c r="C234">
        <v>342.94000244140602</v>
      </c>
      <c r="D234">
        <v>344.850006103515</v>
      </c>
      <c r="E234">
        <v>336.41000366210898</v>
      </c>
      <c r="F234">
        <v>338.63000488281199</v>
      </c>
      <c r="G234">
        <v>338.63000488281199</v>
      </c>
      <c r="H234">
        <v>5350500</v>
      </c>
      <c r="I234" s="3">
        <f t="shared" si="9"/>
        <v>-2.1837711965335016E-2</v>
      </c>
      <c r="J234">
        <f t="shared" ca="1" si="10"/>
        <v>339.24714006696382</v>
      </c>
      <c r="K234">
        <f t="shared" ca="1" si="11"/>
        <v>2.3095268321461013E-2</v>
      </c>
    </row>
    <row r="235" spans="1:11">
      <c r="A235" t="s">
        <v>14</v>
      </c>
      <c r="B235" s="1">
        <v>45033</v>
      </c>
      <c r="C235">
        <v>338</v>
      </c>
      <c r="D235">
        <v>338.39001464843699</v>
      </c>
      <c r="E235">
        <v>327.5</v>
      </c>
      <c r="F235">
        <v>332.72000122070301</v>
      </c>
      <c r="G235">
        <v>332.72000122070301</v>
      </c>
      <c r="H235">
        <v>6136000</v>
      </c>
      <c r="I235" s="3">
        <f t="shared" si="9"/>
        <v>-1.7452687525886024E-2</v>
      </c>
      <c r="J235">
        <f t="shared" ca="1" si="10"/>
        <v>337.87142508370505</v>
      </c>
      <c r="K235">
        <f t="shared" ca="1" si="11"/>
        <v>2.3489821232095795E-2</v>
      </c>
    </row>
    <row r="236" spans="1:11">
      <c r="A236" t="s">
        <v>14</v>
      </c>
      <c r="B236" s="1">
        <v>45034</v>
      </c>
      <c r="C236">
        <v>335</v>
      </c>
      <c r="D236">
        <v>337.19000244140602</v>
      </c>
      <c r="E236">
        <v>330.5</v>
      </c>
      <c r="F236">
        <v>333.70001220703102</v>
      </c>
      <c r="G236">
        <v>333.70001220703102</v>
      </c>
      <c r="H236">
        <v>17944500</v>
      </c>
      <c r="I236" s="3">
        <f t="shared" si="9"/>
        <v>2.9454525809464727E-3</v>
      </c>
      <c r="J236">
        <f t="shared" ca="1" si="10"/>
        <v>337.06714303152876</v>
      </c>
      <c r="K236">
        <f t="shared" ca="1" si="11"/>
        <v>2.3494571084133931E-2</v>
      </c>
    </row>
    <row r="237" spans="1:11">
      <c r="A237" t="s">
        <v>14</v>
      </c>
      <c r="B237" s="1">
        <v>45035</v>
      </c>
      <c r="C237">
        <v>324.20999145507801</v>
      </c>
      <c r="D237">
        <v>325.75</v>
      </c>
      <c r="E237">
        <v>316.100006103515</v>
      </c>
      <c r="F237">
        <v>323.11999511718699</v>
      </c>
      <c r="G237">
        <v>323.11999511718699</v>
      </c>
      <c r="H237">
        <v>22128300</v>
      </c>
      <c r="I237" s="3">
        <f t="shared" si="9"/>
        <v>-3.1705174416595705E-2</v>
      </c>
      <c r="J237">
        <f t="shared" ca="1" si="10"/>
        <v>334.80000087193042</v>
      </c>
      <c r="K237">
        <f t="shared" ca="1" si="11"/>
        <v>2.5978259810726788E-2</v>
      </c>
    </row>
    <row r="238" spans="1:11">
      <c r="A238" t="s">
        <v>14</v>
      </c>
      <c r="B238" s="1">
        <v>45036</v>
      </c>
      <c r="C238">
        <v>320.39001464843699</v>
      </c>
      <c r="D238">
        <v>331.42999267578102</v>
      </c>
      <c r="E238">
        <v>318.329986572265</v>
      </c>
      <c r="F238">
        <v>325.350006103515</v>
      </c>
      <c r="G238">
        <v>325.350006103515</v>
      </c>
      <c r="H238">
        <v>9947800</v>
      </c>
      <c r="I238" s="3">
        <f t="shared" si="9"/>
        <v>6.9014948626724415E-3</v>
      </c>
      <c r="J238">
        <f t="shared" ca="1" si="10"/>
        <v>332.96286010742142</v>
      </c>
      <c r="K238">
        <f t="shared" ca="1" si="11"/>
        <v>2.6456999039261055E-2</v>
      </c>
    </row>
    <row r="239" spans="1:11">
      <c r="A239" t="s">
        <v>14</v>
      </c>
      <c r="B239" s="1">
        <v>45037</v>
      </c>
      <c r="C239">
        <v>323</v>
      </c>
      <c r="D239">
        <v>328.29000854492102</v>
      </c>
      <c r="E239">
        <v>319.5</v>
      </c>
      <c r="F239">
        <v>327.98001098632801</v>
      </c>
      <c r="G239">
        <v>327.98001098632801</v>
      </c>
      <c r="H239">
        <v>6348000</v>
      </c>
      <c r="I239" s="3">
        <f t="shared" si="9"/>
        <v>8.0836171307039351E-3</v>
      </c>
      <c r="J239">
        <f t="shared" ca="1" si="10"/>
        <v>332.5271475655689</v>
      </c>
      <c r="K239">
        <f t="shared" ca="1" si="11"/>
        <v>2.5813820679722592E-2</v>
      </c>
    </row>
    <row r="240" spans="1:11">
      <c r="A240" t="s">
        <v>14</v>
      </c>
      <c r="B240" s="1">
        <v>45040</v>
      </c>
      <c r="C240">
        <v>330.20001220703102</v>
      </c>
      <c r="D240">
        <v>334.66000366210898</v>
      </c>
      <c r="E240">
        <v>326.75</v>
      </c>
      <c r="F240">
        <v>329.01998901367102</v>
      </c>
      <c r="G240">
        <v>329.01998901367102</v>
      </c>
      <c r="H240">
        <v>5586600</v>
      </c>
      <c r="I240" s="3">
        <f t="shared" si="9"/>
        <v>3.1708579562990113E-3</v>
      </c>
      <c r="J240">
        <f t="shared" ca="1" si="10"/>
        <v>330.07428850446382</v>
      </c>
      <c r="K240">
        <f t="shared" ca="1" si="11"/>
        <v>1.6138841575339034E-2</v>
      </c>
    </row>
    <row r="241" spans="1:11">
      <c r="A241" t="s">
        <v>14</v>
      </c>
      <c r="B241" s="1">
        <v>45041</v>
      </c>
      <c r="C241">
        <v>328.5</v>
      </c>
      <c r="D241">
        <v>328.66000366210898</v>
      </c>
      <c r="E241">
        <v>321.100006103515</v>
      </c>
      <c r="F241">
        <v>322.54998779296801</v>
      </c>
      <c r="G241">
        <v>322.54998779296801</v>
      </c>
      <c r="H241">
        <v>5426600</v>
      </c>
      <c r="I241" s="3">
        <f t="shared" si="9"/>
        <v>-1.9664462454389575E-2</v>
      </c>
      <c r="J241">
        <f t="shared" ca="1" si="10"/>
        <v>327.77714320591468</v>
      </c>
      <c r="K241">
        <f t="shared" ca="1" si="11"/>
        <v>1.5826584412852267E-2</v>
      </c>
    </row>
    <row r="242" spans="1:11">
      <c r="A242" t="s">
        <v>14</v>
      </c>
      <c r="B242" s="1">
        <v>45042</v>
      </c>
      <c r="C242">
        <v>321.35998535156199</v>
      </c>
      <c r="D242">
        <v>325.89999389648398</v>
      </c>
      <c r="E242">
        <v>320.47000122070301</v>
      </c>
      <c r="F242">
        <v>321.14999389648398</v>
      </c>
      <c r="G242">
        <v>321.14999389648398</v>
      </c>
      <c r="H242">
        <v>4623200</v>
      </c>
      <c r="I242" s="3">
        <f t="shared" si="9"/>
        <v>-4.3403935807390104E-3</v>
      </c>
      <c r="J242">
        <f t="shared" ca="1" si="10"/>
        <v>326.1242850167406</v>
      </c>
      <c r="K242">
        <f t="shared" ca="1" si="11"/>
        <v>1.5118122403299345E-2</v>
      </c>
    </row>
    <row r="243" spans="1:11">
      <c r="A243" t="s">
        <v>14</v>
      </c>
      <c r="B243" s="1">
        <v>45043</v>
      </c>
      <c r="C243">
        <v>324.29998779296801</v>
      </c>
      <c r="D243">
        <v>327.45001220703102</v>
      </c>
      <c r="E243">
        <v>317.44000244140602</v>
      </c>
      <c r="F243">
        <v>325.850006103515</v>
      </c>
      <c r="G243">
        <v>325.850006103515</v>
      </c>
      <c r="H243">
        <v>5618800</v>
      </c>
      <c r="I243" s="3">
        <f t="shared" si="9"/>
        <v>1.4634944095767155E-2</v>
      </c>
      <c r="J243">
        <f t="shared" ca="1" si="10"/>
        <v>325.00285557338117</v>
      </c>
      <c r="K243">
        <f t="shared" ca="1" si="11"/>
        <v>1.6697897914392031E-2</v>
      </c>
    </row>
    <row r="244" spans="1:11">
      <c r="A244" t="s">
        <v>14</v>
      </c>
      <c r="B244" s="1">
        <v>45044</v>
      </c>
      <c r="C244">
        <v>325.239990234375</v>
      </c>
      <c r="D244">
        <v>330.80999755859301</v>
      </c>
      <c r="E244">
        <v>324</v>
      </c>
      <c r="F244">
        <v>329.92999267578102</v>
      </c>
      <c r="G244">
        <v>329.92999267578102</v>
      </c>
      <c r="H244">
        <v>4221900</v>
      </c>
      <c r="I244" s="3">
        <f t="shared" si="9"/>
        <v>1.2521057222168341E-2</v>
      </c>
      <c r="J244">
        <f t="shared" ca="1" si="10"/>
        <v>325.97571236746597</v>
      </c>
      <c r="K244">
        <f t="shared" ca="1" si="11"/>
        <v>1.179450602674827E-2</v>
      </c>
    </row>
    <row r="245" spans="1:11">
      <c r="A245" t="s">
        <v>14</v>
      </c>
      <c r="B245" s="1">
        <v>45047</v>
      </c>
      <c r="C245">
        <v>329.44000244140602</v>
      </c>
      <c r="D245">
        <v>331.23001098632801</v>
      </c>
      <c r="E245">
        <v>318.08999633789</v>
      </c>
      <c r="F245">
        <v>324.11999511718699</v>
      </c>
      <c r="G245">
        <v>324.11999511718699</v>
      </c>
      <c r="H245">
        <v>5341500</v>
      </c>
      <c r="I245" s="3">
        <f t="shared" si="9"/>
        <v>-1.7609789008492638E-2</v>
      </c>
      <c r="J245">
        <f t="shared" ca="1" si="10"/>
        <v>325.79999651227627</v>
      </c>
      <c r="K245">
        <f t="shared" ca="1" si="11"/>
        <v>1.3907586459490162E-2</v>
      </c>
    </row>
    <row r="246" spans="1:11">
      <c r="A246" t="s">
        <v>14</v>
      </c>
      <c r="B246" s="1">
        <v>45048</v>
      </c>
      <c r="C246">
        <v>325</v>
      </c>
      <c r="D246">
        <v>326.07000732421801</v>
      </c>
      <c r="E246">
        <v>315.61999511718699</v>
      </c>
      <c r="F246">
        <v>317.54998779296801</v>
      </c>
      <c r="G246">
        <v>317.54998779296801</v>
      </c>
      <c r="H246">
        <v>4318600</v>
      </c>
      <c r="I246" s="3">
        <f t="shared" si="9"/>
        <v>-2.0270293172883536E-2</v>
      </c>
      <c r="J246">
        <f t="shared" ca="1" si="10"/>
        <v>324.30999319893914</v>
      </c>
      <c r="K246">
        <f t="shared" ca="1" si="11"/>
        <v>1.508453493239144E-2</v>
      </c>
    </row>
    <row r="247" spans="1:11">
      <c r="A247" t="s">
        <v>14</v>
      </c>
      <c r="B247" s="1">
        <v>45049</v>
      </c>
      <c r="C247">
        <v>317.54998779296801</v>
      </c>
      <c r="D247">
        <v>324.61999511718699</v>
      </c>
      <c r="E247">
        <v>315.850006103515</v>
      </c>
      <c r="F247">
        <v>319.29998779296801</v>
      </c>
      <c r="G247">
        <v>319.29998779296801</v>
      </c>
      <c r="H247">
        <v>5064100</v>
      </c>
      <c r="I247" s="3">
        <f t="shared" si="9"/>
        <v>5.5109433704054744E-3</v>
      </c>
      <c r="J247">
        <f t="shared" ca="1" si="10"/>
        <v>322.92142159598154</v>
      </c>
      <c r="K247">
        <f t="shared" ca="1" si="11"/>
        <v>1.5307365524477843E-2</v>
      </c>
    </row>
    <row r="248" spans="1:11">
      <c r="A248" t="s">
        <v>14</v>
      </c>
      <c r="B248" s="1">
        <v>45050</v>
      </c>
      <c r="C248">
        <v>319.010009765625</v>
      </c>
      <c r="D248">
        <v>323.60998535156199</v>
      </c>
      <c r="E248">
        <v>317.95001220703102</v>
      </c>
      <c r="F248">
        <v>320.77999877929602</v>
      </c>
      <c r="G248">
        <v>320.77999877929602</v>
      </c>
      <c r="H248">
        <v>3879700</v>
      </c>
      <c r="I248" s="3">
        <f t="shared" si="9"/>
        <v>4.635173952113103E-3</v>
      </c>
      <c r="J248">
        <f t="shared" ca="1" si="10"/>
        <v>322.66856602259986</v>
      </c>
      <c r="K248">
        <f t="shared" ca="1" si="11"/>
        <v>1.3899559463092829E-2</v>
      </c>
    </row>
    <row r="249" spans="1:11">
      <c r="A249" t="s">
        <v>14</v>
      </c>
      <c r="B249" s="1">
        <v>45051</v>
      </c>
      <c r="C249">
        <v>323.60998535156199</v>
      </c>
      <c r="D249">
        <v>324.14999389648398</v>
      </c>
      <c r="E249">
        <v>319.44000244140602</v>
      </c>
      <c r="F249">
        <v>322.760009765625</v>
      </c>
      <c r="G249">
        <v>322.760009765625</v>
      </c>
      <c r="H249">
        <v>3988600</v>
      </c>
      <c r="I249" s="3">
        <f t="shared" si="9"/>
        <v>6.1724889140961636E-3</v>
      </c>
      <c r="J249">
        <f t="shared" ca="1" si="10"/>
        <v>322.89856828962002</v>
      </c>
      <c r="K249">
        <f t="shared" ca="1" si="11"/>
        <v>1.4008518990239463E-2</v>
      </c>
    </row>
  </sheetData>
  <sortState xmlns:xlrd2="http://schemas.microsoft.com/office/spreadsheetml/2017/richdata2" ref="A2:K249">
    <sortCondition ref="A2:A249"/>
    <sortCondition ref="B2:B2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"/>
  <sheetViews>
    <sheetView zoomScale="85" zoomScaleNormal="85" workbookViewId="0">
      <selection activeCell="J11" sqref="J11"/>
    </sheetView>
  </sheetViews>
  <sheetFormatPr defaultRowHeight="15"/>
  <cols>
    <col min="1" max="1" width="12" customWidth="1"/>
    <col min="2" max="8" width="12.85546875" customWidth="1"/>
    <col min="9" max="10" width="16.28515625" customWidth="1"/>
    <col min="11" max="11" width="19" customWidth="1"/>
    <col min="12" max="12" width="12.85546875" customWidth="1"/>
    <col min="22" max="22" width="16.7109375" customWidth="1"/>
    <col min="23" max="23" width="12.28515625" customWidth="1"/>
  </cols>
  <sheetData>
    <row r="1" spans="1:23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15</v>
      </c>
      <c r="K1" s="2" t="s">
        <v>9</v>
      </c>
      <c r="L1" s="2" t="s">
        <v>10</v>
      </c>
      <c r="V1" t="s">
        <v>16</v>
      </c>
      <c r="W1" s="4">
        <f>AVERAGE(I2:I63)</f>
        <v>2.0165498394367981E-3</v>
      </c>
    </row>
    <row r="2" spans="1:23" ht="15" customHeight="1">
      <c r="A2" t="s">
        <v>11</v>
      </c>
      <c r="B2" s="1">
        <v>44964</v>
      </c>
      <c r="C2">
        <v>150.63999938964801</v>
      </c>
      <c r="D2">
        <v>155.22999572753901</v>
      </c>
      <c r="E2">
        <v>150.63999938964801</v>
      </c>
      <c r="F2">
        <v>154.64999389648401</v>
      </c>
      <c r="G2">
        <v>154.41423034667901</v>
      </c>
      <c r="H2">
        <v>83322600</v>
      </c>
      <c r="J2">
        <v>0</v>
      </c>
      <c r="V2" t="s">
        <v>17</v>
      </c>
      <c r="W2" s="5">
        <f ca="1">AVERAGEIF(L2:L63,"&lt;&gt;")</f>
        <v>1.3260070624251901E-2</v>
      </c>
    </row>
    <row r="3" spans="1:23" ht="15" customHeight="1">
      <c r="A3" t="s">
        <v>11</v>
      </c>
      <c r="B3" s="1">
        <v>44965</v>
      </c>
      <c r="C3">
        <v>153.88000488281199</v>
      </c>
      <c r="D3">
        <v>154.58000183105401</v>
      </c>
      <c r="E3">
        <v>151.169998168945</v>
      </c>
      <c r="F3">
        <v>151.919998168945</v>
      </c>
      <c r="G3">
        <v>151.68840026855401</v>
      </c>
      <c r="H3">
        <v>64120100</v>
      </c>
      <c r="I3" s="3">
        <f>(G3/G2)-1</f>
        <v>-1.7652712913862723E-2</v>
      </c>
      <c r="J3">
        <v>0</v>
      </c>
      <c r="V3" t="s">
        <v>18</v>
      </c>
      <c r="W3" s="4">
        <f>MAX(I2:I63)</f>
        <v>4.6926921727167947E-2</v>
      </c>
    </row>
    <row r="4" spans="1:23" ht="15" customHeight="1">
      <c r="A4" t="s">
        <v>11</v>
      </c>
      <c r="B4" s="1">
        <v>44966</v>
      </c>
      <c r="C4">
        <v>153.77999877929599</v>
      </c>
      <c r="D4">
        <v>154.33000183105401</v>
      </c>
      <c r="E4">
        <v>150.419998168945</v>
      </c>
      <c r="F4">
        <v>150.86999511718699</v>
      </c>
      <c r="G4">
        <v>150.63999938964801</v>
      </c>
      <c r="H4">
        <v>56007100</v>
      </c>
      <c r="I4" s="3">
        <f t="shared" ref="I4:I63" si="0">(G4/G3)-1</f>
        <v>-6.9115428539682222E-3</v>
      </c>
      <c r="J4">
        <v>0</v>
      </c>
      <c r="V4" t="s">
        <v>19</v>
      </c>
      <c r="W4" s="4">
        <f>MIN(I2:I63)</f>
        <v>-2.667982460044338E-2</v>
      </c>
    </row>
    <row r="5" spans="1:23" ht="15" customHeight="1">
      <c r="A5" t="s">
        <v>11</v>
      </c>
      <c r="B5" s="1">
        <v>44967</v>
      </c>
      <c r="C5">
        <v>149.46000671386699</v>
      </c>
      <c r="D5">
        <v>151.33999633789</v>
      </c>
      <c r="E5">
        <v>149.22000122070301</v>
      </c>
      <c r="F5">
        <v>151.009994506835</v>
      </c>
      <c r="G5">
        <v>151.009994506835</v>
      </c>
      <c r="H5">
        <v>57450700</v>
      </c>
      <c r="I5" s="3">
        <f t="shared" si="0"/>
        <v>2.4561545319046196E-3</v>
      </c>
      <c r="J5">
        <v>0</v>
      </c>
      <c r="V5" t="s">
        <v>20</v>
      </c>
      <c r="W5" s="4" cm="1">
        <f t="array" aca="1" ref="W5" ca="1">INDEX(L2:L63,COUNTA(L2:L63))</f>
        <v>1.3268251802406967E-2</v>
      </c>
    </row>
    <row r="6" spans="1:23">
      <c r="A6" t="s">
        <v>11</v>
      </c>
      <c r="B6" s="1">
        <v>44970</v>
      </c>
      <c r="C6">
        <v>150.94999694824199</v>
      </c>
      <c r="D6">
        <v>154.259994506835</v>
      </c>
      <c r="E6">
        <v>150.919998168945</v>
      </c>
      <c r="F6">
        <v>153.850006103515</v>
      </c>
      <c r="G6">
        <v>153.850006103515</v>
      </c>
      <c r="H6">
        <v>62199000</v>
      </c>
      <c r="I6" s="3">
        <f t="shared" si="0"/>
        <v>1.8806779021182329E-2</v>
      </c>
      <c r="J6">
        <v>0</v>
      </c>
    </row>
    <row r="7" spans="1:23">
      <c r="A7" t="s">
        <v>11</v>
      </c>
      <c r="B7" s="1">
        <v>44971</v>
      </c>
      <c r="C7">
        <v>152.11999511718699</v>
      </c>
      <c r="D7">
        <v>153.77000427246</v>
      </c>
      <c r="E7">
        <v>150.86000061035099</v>
      </c>
      <c r="F7">
        <v>153.19999694824199</v>
      </c>
      <c r="G7">
        <v>153.19999694824199</v>
      </c>
      <c r="H7">
        <v>61707600</v>
      </c>
      <c r="I7" s="3">
        <f t="shared" si="0"/>
        <v>-4.224953717815727E-3</v>
      </c>
      <c r="J7">
        <v>0</v>
      </c>
    </row>
    <row r="8" spans="1:23">
      <c r="A8" t="s">
        <v>11</v>
      </c>
      <c r="B8" s="1">
        <v>44972</v>
      </c>
      <c r="C8">
        <v>153.11000061035099</v>
      </c>
      <c r="D8">
        <v>155.5</v>
      </c>
      <c r="E8">
        <v>152.88000488281199</v>
      </c>
      <c r="F8">
        <v>155.33000183105401</v>
      </c>
      <c r="G8">
        <v>155.33000183105401</v>
      </c>
      <c r="H8">
        <v>65573800</v>
      </c>
      <c r="I8" s="3">
        <f t="shared" si="0"/>
        <v>1.3903426404973329E-2</v>
      </c>
      <c r="J8">
        <v>0</v>
      </c>
      <c r="K8">
        <f ca="1">AVERAGE(OFFSET(G8,-6,0,7,1))</f>
        <v>152.87608991350385</v>
      </c>
      <c r="L8">
        <f ca="1">STDEV(OFFSET(I8,-6,0,7,1))</f>
        <v>1.3590384996527764E-2</v>
      </c>
    </row>
    <row r="9" spans="1:23">
      <c r="A9" t="s">
        <v>11</v>
      </c>
      <c r="B9" s="1">
        <v>44973</v>
      </c>
      <c r="C9">
        <v>153.509994506835</v>
      </c>
      <c r="D9">
        <v>156.33000183105401</v>
      </c>
      <c r="E9">
        <v>153.350006103515</v>
      </c>
      <c r="F9">
        <v>153.71000671386699</v>
      </c>
      <c r="G9">
        <v>153.71000671386699</v>
      </c>
      <c r="H9">
        <v>68167900</v>
      </c>
      <c r="I9" s="3">
        <f t="shared" si="0"/>
        <v>-1.042937679836653E-2</v>
      </c>
      <c r="J9">
        <v>0</v>
      </c>
      <c r="K9">
        <f t="shared" ref="K9:K63" ca="1" si="1">AVERAGE(OFFSET(G9,-6,0,7,1))</f>
        <v>152.77548653738785</v>
      </c>
      <c r="L9">
        <f t="shared" ref="L9:L63" ca="1" si="2">STDEV(OFFSET(I9,-6,0,7,1))</f>
        <v>1.3144688021055066E-2</v>
      </c>
    </row>
    <row r="10" spans="1:23">
      <c r="A10" t="s">
        <v>11</v>
      </c>
      <c r="B10" s="1">
        <v>44974</v>
      </c>
      <c r="C10">
        <v>152.350006103515</v>
      </c>
      <c r="D10">
        <v>153</v>
      </c>
      <c r="E10">
        <v>150.850006103515</v>
      </c>
      <c r="F10">
        <v>152.55000305175699</v>
      </c>
      <c r="G10">
        <v>152.55000305175699</v>
      </c>
      <c r="H10">
        <v>59144100</v>
      </c>
      <c r="I10" s="3">
        <f t="shared" si="0"/>
        <v>-7.5467023059165861E-3</v>
      </c>
      <c r="J10">
        <v>0</v>
      </c>
      <c r="K10">
        <f t="shared" ca="1" si="1"/>
        <v>152.898572649274</v>
      </c>
      <c r="L10">
        <f t="shared" ca="1" si="2"/>
        <v>1.1395479371605063E-2</v>
      </c>
    </row>
    <row r="11" spans="1:23">
      <c r="A11" t="s">
        <v>11</v>
      </c>
      <c r="B11" s="1">
        <v>44978</v>
      </c>
      <c r="C11">
        <v>150.19999694824199</v>
      </c>
      <c r="D11">
        <v>151.30000305175699</v>
      </c>
      <c r="E11">
        <v>148.41000366210901</v>
      </c>
      <c r="F11">
        <v>148.47999572753901</v>
      </c>
      <c r="G11">
        <v>148.47999572753901</v>
      </c>
      <c r="H11">
        <v>58867200</v>
      </c>
      <c r="I11" s="3">
        <f t="shared" si="0"/>
        <v>-2.667982460044338E-2</v>
      </c>
      <c r="J11">
        <v>0</v>
      </c>
      <c r="K11">
        <f t="shared" ca="1" si="1"/>
        <v>152.59000069754413</v>
      </c>
      <c r="L11">
        <f t="shared" ca="1" si="2"/>
        <v>1.5392374488541652E-2</v>
      </c>
    </row>
    <row r="12" spans="1:23">
      <c r="A12" t="s">
        <v>11</v>
      </c>
      <c r="B12" s="1">
        <v>44979</v>
      </c>
      <c r="C12">
        <v>148.86999511718699</v>
      </c>
      <c r="D12">
        <v>149.94999694824199</v>
      </c>
      <c r="E12">
        <v>147.16000366210901</v>
      </c>
      <c r="F12">
        <v>148.91000366210901</v>
      </c>
      <c r="G12">
        <v>148.91000366210901</v>
      </c>
      <c r="H12">
        <v>51011300</v>
      </c>
      <c r="I12" s="3">
        <f t="shared" si="0"/>
        <v>2.8960664530126579E-3</v>
      </c>
      <c r="J12">
        <v>0</v>
      </c>
      <c r="K12">
        <f t="shared" ca="1" si="1"/>
        <v>152.29000200544041</v>
      </c>
      <c r="L12">
        <f t="shared" ca="1" si="2"/>
        <v>1.5414288702582752E-2</v>
      </c>
    </row>
    <row r="13" spans="1:23">
      <c r="A13" t="s">
        <v>11</v>
      </c>
      <c r="B13" s="1">
        <v>44980</v>
      </c>
      <c r="C13">
        <v>150.08999633789</v>
      </c>
      <c r="D13">
        <v>150.33999633789</v>
      </c>
      <c r="E13">
        <v>147.24000549316401</v>
      </c>
      <c r="F13">
        <v>149.39999389648401</v>
      </c>
      <c r="G13">
        <v>149.39999389648401</v>
      </c>
      <c r="H13">
        <v>48394200</v>
      </c>
      <c r="I13" s="3">
        <f t="shared" si="0"/>
        <v>3.2905125399556034E-3</v>
      </c>
      <c r="J13">
        <v>0</v>
      </c>
      <c r="K13">
        <f t="shared" ca="1" si="1"/>
        <v>151.65428597586455</v>
      </c>
      <c r="L13">
        <f t="shared" ca="1" si="2"/>
        <v>1.2841934332759406E-2</v>
      </c>
    </row>
    <row r="14" spans="1:23">
      <c r="A14" t="s">
        <v>11</v>
      </c>
      <c r="B14" s="1">
        <v>44981</v>
      </c>
      <c r="C14">
        <v>147.11000061035099</v>
      </c>
      <c r="D14">
        <v>147.19000244140599</v>
      </c>
      <c r="E14">
        <v>145.72000122070301</v>
      </c>
      <c r="F14">
        <v>146.71000671386699</v>
      </c>
      <c r="G14">
        <v>146.71000671386699</v>
      </c>
      <c r="H14">
        <v>55469600</v>
      </c>
      <c r="I14" s="3">
        <f t="shared" si="0"/>
        <v>-1.8005269695531956E-2</v>
      </c>
      <c r="J14">
        <v>0</v>
      </c>
      <c r="K14">
        <f t="shared" ca="1" si="1"/>
        <v>150.727144513811</v>
      </c>
      <c r="L14">
        <f t="shared" ca="1" si="2"/>
        <v>1.3876519210307216E-2</v>
      </c>
    </row>
    <row r="15" spans="1:23">
      <c r="A15" t="s">
        <v>11</v>
      </c>
      <c r="B15" s="1">
        <v>44984</v>
      </c>
      <c r="C15">
        <v>147.71000671386699</v>
      </c>
      <c r="D15">
        <v>149.169998168945</v>
      </c>
      <c r="E15">
        <v>147.44999694824199</v>
      </c>
      <c r="F15">
        <v>147.919998168945</v>
      </c>
      <c r="G15">
        <v>147.919998168945</v>
      </c>
      <c r="H15">
        <v>44998500</v>
      </c>
      <c r="I15" s="3">
        <f t="shared" si="0"/>
        <v>8.2475045989049978E-3</v>
      </c>
      <c r="J15">
        <v>0</v>
      </c>
      <c r="K15">
        <f t="shared" ca="1" si="1"/>
        <v>149.66857256208115</v>
      </c>
      <c r="L15">
        <f t="shared" ca="1" si="2"/>
        <v>1.2627343351045064E-2</v>
      </c>
    </row>
    <row r="16" spans="1:23">
      <c r="A16" t="s">
        <v>11</v>
      </c>
      <c r="B16" s="1">
        <v>44985</v>
      </c>
      <c r="C16">
        <v>147.05000305175699</v>
      </c>
      <c r="D16">
        <v>149.08000183105401</v>
      </c>
      <c r="E16">
        <v>146.83000183105401</v>
      </c>
      <c r="F16">
        <v>147.41000366210901</v>
      </c>
      <c r="G16">
        <v>147.41000366210901</v>
      </c>
      <c r="H16">
        <v>50547000</v>
      </c>
      <c r="I16" s="3">
        <f t="shared" si="0"/>
        <v>-3.447772533457627E-3</v>
      </c>
      <c r="J16">
        <v>0</v>
      </c>
      <c r="K16">
        <f t="shared" ca="1" si="1"/>
        <v>148.76857212611571</v>
      </c>
      <c r="L16">
        <f t="shared" ca="1" si="2"/>
        <v>1.2576774099380567E-2</v>
      </c>
    </row>
    <row r="17" spans="1:12">
      <c r="A17" t="s">
        <v>11</v>
      </c>
      <c r="B17" s="1">
        <v>44986</v>
      </c>
      <c r="C17">
        <v>146.83000183105401</v>
      </c>
      <c r="D17">
        <v>147.22999572753901</v>
      </c>
      <c r="E17">
        <v>145.009994506835</v>
      </c>
      <c r="F17">
        <v>145.30999755859301</v>
      </c>
      <c r="G17">
        <v>145.30999755859301</v>
      </c>
      <c r="H17">
        <v>55479000</v>
      </c>
      <c r="I17" s="3">
        <f t="shared" si="0"/>
        <v>-1.4246021649450546E-2</v>
      </c>
      <c r="J17">
        <v>0</v>
      </c>
      <c r="K17">
        <f t="shared" ca="1" si="1"/>
        <v>147.73428562709228</v>
      </c>
      <c r="L17">
        <f t="shared" ca="1" si="2"/>
        <v>1.2972334156295421E-2</v>
      </c>
    </row>
    <row r="18" spans="1:12">
      <c r="A18" t="s">
        <v>11</v>
      </c>
      <c r="B18" s="1">
        <v>44987</v>
      </c>
      <c r="C18">
        <v>144.38000488281199</v>
      </c>
      <c r="D18">
        <v>146.71000671386699</v>
      </c>
      <c r="E18">
        <v>143.89999389648401</v>
      </c>
      <c r="F18">
        <v>145.91000366210901</v>
      </c>
      <c r="G18">
        <v>145.91000366210901</v>
      </c>
      <c r="H18">
        <v>52238100</v>
      </c>
      <c r="I18" s="3">
        <f t="shared" si="0"/>
        <v>4.129145369189402E-3</v>
      </c>
      <c r="J18">
        <v>0</v>
      </c>
      <c r="K18">
        <f t="shared" ca="1" si="1"/>
        <v>147.36714390345944</v>
      </c>
      <c r="L18">
        <f t="shared" ca="1" si="2"/>
        <v>1.0011357988082621E-2</v>
      </c>
    </row>
    <row r="19" spans="1:12">
      <c r="A19" t="s">
        <v>11</v>
      </c>
      <c r="B19" s="1">
        <v>44988</v>
      </c>
      <c r="C19">
        <v>148.03999328613199</v>
      </c>
      <c r="D19">
        <v>151.11000061035099</v>
      </c>
      <c r="E19">
        <v>147.33000183105401</v>
      </c>
      <c r="F19">
        <v>151.02999877929599</v>
      </c>
      <c r="G19">
        <v>151.02999877929599</v>
      </c>
      <c r="H19">
        <v>70732300</v>
      </c>
      <c r="I19" s="3">
        <f t="shared" si="0"/>
        <v>3.5090089703812222E-2</v>
      </c>
      <c r="J19">
        <v>0</v>
      </c>
      <c r="K19">
        <f t="shared" ca="1" si="1"/>
        <v>147.67000034877188</v>
      </c>
      <c r="L19">
        <f t="shared" ca="1" si="2"/>
        <v>1.7482592901997572E-2</v>
      </c>
    </row>
    <row r="20" spans="1:12">
      <c r="A20" t="s">
        <v>11</v>
      </c>
      <c r="B20" s="1">
        <v>44991</v>
      </c>
      <c r="C20">
        <v>153.78999328613199</v>
      </c>
      <c r="D20">
        <v>156.30000305175699</v>
      </c>
      <c r="E20">
        <v>153.46000671386699</v>
      </c>
      <c r="F20">
        <v>153.83000183105401</v>
      </c>
      <c r="G20">
        <v>153.83000183105401</v>
      </c>
      <c r="H20">
        <v>87558000</v>
      </c>
      <c r="I20" s="3">
        <f t="shared" si="0"/>
        <v>1.8539383396604103E-2</v>
      </c>
      <c r="J20">
        <v>0</v>
      </c>
      <c r="K20">
        <f t="shared" ca="1" si="1"/>
        <v>148.30285862513898</v>
      </c>
      <c r="L20">
        <f t="shared" ca="1" si="2"/>
        <v>1.8564767154492557E-2</v>
      </c>
    </row>
    <row r="21" spans="1:12">
      <c r="A21" t="s">
        <v>11</v>
      </c>
      <c r="B21" s="1">
        <v>44992</v>
      </c>
      <c r="C21">
        <v>153.69999694824199</v>
      </c>
      <c r="D21">
        <v>154.02999877929599</v>
      </c>
      <c r="E21">
        <v>151.13000488281199</v>
      </c>
      <c r="F21">
        <v>151.600006103515</v>
      </c>
      <c r="G21">
        <v>151.600006103515</v>
      </c>
      <c r="H21">
        <v>56182000</v>
      </c>
      <c r="I21" s="3">
        <f t="shared" si="0"/>
        <v>-1.4496494188358189E-2</v>
      </c>
      <c r="J21">
        <v>0</v>
      </c>
      <c r="K21">
        <f t="shared" ca="1" si="1"/>
        <v>149.00142996651726</v>
      </c>
      <c r="L21">
        <f t="shared" ca="1" si="2"/>
        <v>1.7896555766078483E-2</v>
      </c>
    </row>
    <row r="22" spans="1:12">
      <c r="A22" t="s">
        <v>11</v>
      </c>
      <c r="B22" s="1">
        <v>44993</v>
      </c>
      <c r="C22">
        <v>152.80999755859301</v>
      </c>
      <c r="D22">
        <v>153.47000122070301</v>
      </c>
      <c r="E22">
        <v>151.83000183105401</v>
      </c>
      <c r="F22">
        <v>152.86999511718699</v>
      </c>
      <c r="G22">
        <v>152.86999511718699</v>
      </c>
      <c r="H22">
        <v>47204800</v>
      </c>
      <c r="I22" s="3">
        <f t="shared" si="0"/>
        <v>8.3772359006688557E-3</v>
      </c>
      <c r="J22">
        <v>0</v>
      </c>
      <c r="K22">
        <f t="shared" ca="1" si="1"/>
        <v>149.70857238769472</v>
      </c>
      <c r="L22">
        <f t="shared" ca="1" si="2"/>
        <v>1.7900750328763686E-2</v>
      </c>
    </row>
    <row r="23" spans="1:12">
      <c r="A23" t="s">
        <v>11</v>
      </c>
      <c r="B23" s="1">
        <v>44994</v>
      </c>
      <c r="C23">
        <v>153.55999755859301</v>
      </c>
      <c r="D23">
        <v>154.53999328613199</v>
      </c>
      <c r="E23">
        <v>150.22999572753901</v>
      </c>
      <c r="F23">
        <v>150.58999633789</v>
      </c>
      <c r="G23">
        <v>150.58999633789</v>
      </c>
      <c r="H23">
        <v>53833600</v>
      </c>
      <c r="I23" s="3">
        <f t="shared" si="0"/>
        <v>-1.491462583974823E-2</v>
      </c>
      <c r="J23">
        <v>0</v>
      </c>
      <c r="K23">
        <f t="shared" ca="1" si="1"/>
        <v>150.16285705566341</v>
      </c>
      <c r="L23">
        <f t="shared" ca="1" si="2"/>
        <v>1.925967267444658E-2</v>
      </c>
    </row>
    <row r="24" spans="1:12">
      <c r="A24" t="s">
        <v>11</v>
      </c>
      <c r="B24" s="1">
        <v>44995</v>
      </c>
      <c r="C24">
        <v>150.21000671386699</v>
      </c>
      <c r="D24">
        <v>150.94000244140599</v>
      </c>
      <c r="E24">
        <v>147.61000061035099</v>
      </c>
      <c r="F24">
        <v>148.5</v>
      </c>
      <c r="G24">
        <v>148.5</v>
      </c>
      <c r="H24">
        <v>68572400</v>
      </c>
      <c r="I24" s="3">
        <f t="shared" si="0"/>
        <v>-1.3878719627567593E-2</v>
      </c>
      <c r="J24">
        <v>0</v>
      </c>
      <c r="K24">
        <f t="shared" ca="1" si="1"/>
        <v>150.61857169015016</v>
      </c>
      <c r="L24">
        <f t="shared" ca="1" si="2"/>
        <v>1.9204606255343516E-2</v>
      </c>
    </row>
    <row r="25" spans="1:12">
      <c r="A25" t="s">
        <v>11</v>
      </c>
      <c r="B25" s="1">
        <v>44998</v>
      </c>
      <c r="C25">
        <v>147.80999755859301</v>
      </c>
      <c r="D25">
        <v>153.13999938964801</v>
      </c>
      <c r="E25">
        <v>147.69999694824199</v>
      </c>
      <c r="F25">
        <v>150.47000122070301</v>
      </c>
      <c r="G25">
        <v>150.47000122070301</v>
      </c>
      <c r="H25">
        <v>84457100</v>
      </c>
      <c r="I25" s="3">
        <f t="shared" si="0"/>
        <v>1.3266001486215595E-2</v>
      </c>
      <c r="J25">
        <v>0</v>
      </c>
      <c r="K25">
        <f t="shared" ca="1" si="1"/>
        <v>151.26999991280641</v>
      </c>
      <c r="L25">
        <f t="shared" ca="1" si="2"/>
        <v>1.9580058428782531E-2</v>
      </c>
    </row>
    <row r="26" spans="1:12">
      <c r="A26" t="s">
        <v>11</v>
      </c>
      <c r="B26" s="1">
        <v>44999</v>
      </c>
      <c r="C26">
        <v>151.27999877929599</v>
      </c>
      <c r="D26">
        <v>153.39999389648401</v>
      </c>
      <c r="E26">
        <v>150.100006103515</v>
      </c>
      <c r="F26">
        <v>152.58999633789</v>
      </c>
      <c r="G26">
        <v>152.58999633789</v>
      </c>
      <c r="H26">
        <v>73695900</v>
      </c>
      <c r="I26" s="3">
        <f t="shared" si="0"/>
        <v>1.4089154648689428E-2</v>
      </c>
      <c r="J26">
        <v>0</v>
      </c>
      <c r="K26">
        <f t="shared" ca="1" si="1"/>
        <v>151.49285670689127</v>
      </c>
      <c r="L26">
        <f t="shared" ca="1" si="2"/>
        <v>1.5255393422074532E-2</v>
      </c>
    </row>
    <row r="27" spans="1:12">
      <c r="A27" t="s">
        <v>11</v>
      </c>
      <c r="B27" s="1">
        <v>45000</v>
      </c>
      <c r="C27">
        <v>151.19000244140599</v>
      </c>
      <c r="D27">
        <v>153.25</v>
      </c>
      <c r="E27">
        <v>149.919998168945</v>
      </c>
      <c r="F27">
        <v>152.99000549316401</v>
      </c>
      <c r="G27">
        <v>152.99000549316401</v>
      </c>
      <c r="H27">
        <v>77167900</v>
      </c>
      <c r="I27" s="3">
        <f t="shared" si="0"/>
        <v>2.6214638238029053E-3</v>
      </c>
      <c r="J27">
        <v>0</v>
      </c>
      <c r="K27">
        <f t="shared" ca="1" si="1"/>
        <v>151.37285723004987</v>
      </c>
      <c r="L27">
        <f t="shared" ca="1" si="2"/>
        <v>1.3374564989588122E-2</v>
      </c>
    </row>
    <row r="28" spans="1:12">
      <c r="A28" t="s">
        <v>11</v>
      </c>
      <c r="B28" s="1">
        <v>45001</v>
      </c>
      <c r="C28">
        <v>152.16000366210901</v>
      </c>
      <c r="D28">
        <v>156.46000671386699</v>
      </c>
      <c r="E28">
        <v>151.63999938964801</v>
      </c>
      <c r="F28">
        <v>155.850006103515</v>
      </c>
      <c r="G28">
        <v>155.850006103515</v>
      </c>
      <c r="H28">
        <v>76161100</v>
      </c>
      <c r="I28" s="3">
        <f t="shared" si="0"/>
        <v>1.869403560795857E-2</v>
      </c>
      <c r="J28">
        <v>0</v>
      </c>
      <c r="K28">
        <f t="shared" ca="1" si="1"/>
        <v>151.98000008719274</v>
      </c>
      <c r="L28">
        <f t="shared" ca="1" si="2"/>
        <v>1.3552536623425199E-2</v>
      </c>
    </row>
    <row r="29" spans="1:12">
      <c r="A29" t="s">
        <v>11</v>
      </c>
      <c r="B29" s="1">
        <v>45002</v>
      </c>
      <c r="C29">
        <v>156.08000183105401</v>
      </c>
      <c r="D29">
        <v>156.74000549316401</v>
      </c>
      <c r="E29">
        <v>154.27999877929599</v>
      </c>
      <c r="F29">
        <v>155</v>
      </c>
      <c r="G29">
        <v>155</v>
      </c>
      <c r="H29">
        <v>98944600</v>
      </c>
      <c r="I29" s="3">
        <f t="shared" si="0"/>
        <v>-5.4540010922452531E-3</v>
      </c>
      <c r="J29">
        <v>0</v>
      </c>
      <c r="K29">
        <f t="shared" ca="1" si="1"/>
        <v>152.28428649902315</v>
      </c>
      <c r="L29">
        <f t="shared" ca="1" si="2"/>
        <v>1.3819806617792734E-2</v>
      </c>
    </row>
    <row r="30" spans="1:12">
      <c r="A30" t="s">
        <v>11</v>
      </c>
      <c r="B30" s="1">
        <v>45005</v>
      </c>
      <c r="C30">
        <v>155.07000732421801</v>
      </c>
      <c r="D30">
        <v>157.82000732421801</v>
      </c>
      <c r="E30">
        <v>154.14999389648401</v>
      </c>
      <c r="F30">
        <v>157.39999389648401</v>
      </c>
      <c r="G30">
        <v>157.39999389648401</v>
      </c>
      <c r="H30">
        <v>73641400</v>
      </c>
      <c r="I30" s="3">
        <f t="shared" si="0"/>
        <v>1.5483831590219488E-2</v>
      </c>
      <c r="J30">
        <v>0</v>
      </c>
      <c r="K30">
        <f t="shared" ca="1" si="1"/>
        <v>153.25714329310799</v>
      </c>
      <c r="L30">
        <f t="shared" ca="1" si="2"/>
        <v>1.2287835875980063E-2</v>
      </c>
    </row>
    <row r="31" spans="1:12">
      <c r="A31" t="s">
        <v>11</v>
      </c>
      <c r="B31" s="1">
        <v>45006</v>
      </c>
      <c r="C31">
        <v>157.32000732421801</v>
      </c>
      <c r="D31">
        <v>159.39999389648401</v>
      </c>
      <c r="E31">
        <v>156.53999328613199</v>
      </c>
      <c r="F31">
        <v>159.27999877929599</v>
      </c>
      <c r="G31">
        <v>159.27999877929599</v>
      </c>
      <c r="H31">
        <v>73938300</v>
      </c>
      <c r="I31" s="3">
        <f t="shared" si="0"/>
        <v>1.1944122971493831E-2</v>
      </c>
      <c r="J31">
        <v>0</v>
      </c>
      <c r="K31">
        <f t="shared" ca="1" si="1"/>
        <v>154.79714311872175</v>
      </c>
      <c r="L31">
        <f t="shared" ca="1" si="2"/>
        <v>8.4659692828250154E-3</v>
      </c>
    </row>
    <row r="32" spans="1:12">
      <c r="A32" t="s">
        <v>11</v>
      </c>
      <c r="B32" s="1">
        <v>45007</v>
      </c>
      <c r="C32">
        <v>159.30000305175699</v>
      </c>
      <c r="D32">
        <v>162.13999938964801</v>
      </c>
      <c r="E32">
        <v>157.80999755859301</v>
      </c>
      <c r="F32">
        <v>157.83000183105401</v>
      </c>
      <c r="G32">
        <v>157.83000183105401</v>
      </c>
      <c r="H32">
        <v>75701800</v>
      </c>
      <c r="I32" s="3">
        <f t="shared" si="0"/>
        <v>-9.103446505239865E-3</v>
      </c>
      <c r="J32">
        <v>0</v>
      </c>
      <c r="K32">
        <f t="shared" ca="1" si="1"/>
        <v>155.8485717773433</v>
      </c>
      <c r="L32">
        <f t="shared" ca="1" si="2"/>
        <v>1.0931193808779284E-2</v>
      </c>
    </row>
    <row r="33" spans="1:12">
      <c r="A33" t="s">
        <v>11</v>
      </c>
      <c r="B33" s="1">
        <v>45008</v>
      </c>
      <c r="C33">
        <v>158.83000183105401</v>
      </c>
      <c r="D33">
        <v>161.55000305175699</v>
      </c>
      <c r="E33">
        <v>157.67999267578099</v>
      </c>
      <c r="F33">
        <v>158.92999267578099</v>
      </c>
      <c r="G33">
        <v>158.92999267578099</v>
      </c>
      <c r="H33">
        <v>67622100</v>
      </c>
      <c r="I33" s="3">
        <f t="shared" si="0"/>
        <v>6.9694660835426525E-3</v>
      </c>
      <c r="J33">
        <v>0</v>
      </c>
      <c r="K33">
        <f t="shared" ca="1" si="1"/>
        <v>156.75428553989914</v>
      </c>
      <c r="L33">
        <f t="shared" ca="1" si="2"/>
        <v>1.0471985791892215E-2</v>
      </c>
    </row>
    <row r="34" spans="1:12">
      <c r="A34" t="s">
        <v>11</v>
      </c>
      <c r="B34" s="1">
        <v>45009</v>
      </c>
      <c r="C34">
        <v>158.86000061035099</v>
      </c>
      <c r="D34">
        <v>160.33999633789</v>
      </c>
      <c r="E34">
        <v>157.850006103515</v>
      </c>
      <c r="F34">
        <v>160.25</v>
      </c>
      <c r="G34">
        <v>160.25</v>
      </c>
      <c r="H34">
        <v>59196500</v>
      </c>
      <c r="I34" s="3">
        <f t="shared" si="0"/>
        <v>8.3055897882775565E-3</v>
      </c>
      <c r="J34">
        <v>0</v>
      </c>
      <c r="K34">
        <f t="shared" ca="1" si="1"/>
        <v>157.79142761230429</v>
      </c>
      <c r="L34">
        <f t="shared" ca="1" si="2"/>
        <v>1.0397372157189338E-2</v>
      </c>
    </row>
    <row r="35" spans="1:12">
      <c r="A35" t="s">
        <v>11</v>
      </c>
      <c r="B35" s="1">
        <v>45012</v>
      </c>
      <c r="C35">
        <v>159.94000244140599</v>
      </c>
      <c r="D35">
        <v>160.77000427246</v>
      </c>
      <c r="E35">
        <v>157.86999511718699</v>
      </c>
      <c r="F35">
        <v>158.27999877929599</v>
      </c>
      <c r="G35">
        <v>158.27999877929599</v>
      </c>
      <c r="H35">
        <v>52390300</v>
      </c>
      <c r="I35" s="3">
        <f t="shared" si="0"/>
        <v>-1.2293299349167008E-2</v>
      </c>
      <c r="J35">
        <v>0</v>
      </c>
      <c r="K35">
        <f t="shared" ca="1" si="1"/>
        <v>158.13856942313015</v>
      </c>
      <c r="L35">
        <f t="shared" ca="1" si="2"/>
        <v>1.1013720903976129E-2</v>
      </c>
    </row>
    <row r="36" spans="1:12">
      <c r="A36" t="s">
        <v>11</v>
      </c>
      <c r="B36" s="1">
        <v>45013</v>
      </c>
      <c r="C36">
        <v>157.97000122070301</v>
      </c>
      <c r="D36">
        <v>158.49000549316401</v>
      </c>
      <c r="E36">
        <v>155.97999572753901</v>
      </c>
      <c r="F36">
        <v>157.64999389648401</v>
      </c>
      <c r="G36">
        <v>157.64999389648401</v>
      </c>
      <c r="H36">
        <v>45992200</v>
      </c>
      <c r="I36" s="3">
        <f t="shared" si="0"/>
        <v>-3.980318976944508E-3</v>
      </c>
      <c r="J36">
        <v>0</v>
      </c>
      <c r="K36">
        <f t="shared" ca="1" si="1"/>
        <v>158.51713997977072</v>
      </c>
      <c r="L36">
        <f t="shared" ca="1" si="2"/>
        <v>1.0854524586203031E-2</v>
      </c>
    </row>
    <row r="37" spans="1:12">
      <c r="A37" t="s">
        <v>11</v>
      </c>
      <c r="B37" s="1">
        <v>45014</v>
      </c>
      <c r="C37">
        <v>159.36999511718699</v>
      </c>
      <c r="D37">
        <v>161.05000305175699</v>
      </c>
      <c r="E37">
        <v>159.350006103515</v>
      </c>
      <c r="F37">
        <v>160.77000427246</v>
      </c>
      <c r="G37">
        <v>160.77000427246</v>
      </c>
      <c r="H37">
        <v>51305700</v>
      </c>
      <c r="I37" s="3">
        <f t="shared" si="0"/>
        <v>1.979074212983889E-2</v>
      </c>
      <c r="J37">
        <v>0</v>
      </c>
      <c r="K37">
        <f t="shared" ca="1" si="1"/>
        <v>158.99857003348157</v>
      </c>
      <c r="L37">
        <f t="shared" ca="1" si="2"/>
        <v>1.1796032956233347E-2</v>
      </c>
    </row>
    <row r="38" spans="1:12">
      <c r="A38" t="s">
        <v>11</v>
      </c>
      <c r="B38" s="1">
        <v>45015</v>
      </c>
      <c r="C38">
        <v>161.52999877929599</v>
      </c>
      <c r="D38">
        <v>162.47000122070301</v>
      </c>
      <c r="E38">
        <v>161.27000427246</v>
      </c>
      <c r="F38">
        <v>162.36000061035099</v>
      </c>
      <c r="G38">
        <v>162.36000061035099</v>
      </c>
      <c r="H38">
        <v>49501700</v>
      </c>
      <c r="I38" s="3">
        <f t="shared" si="0"/>
        <v>9.8898817916082127E-3</v>
      </c>
      <c r="J38">
        <v>0</v>
      </c>
      <c r="K38">
        <f t="shared" ca="1" si="1"/>
        <v>159.43857029506086</v>
      </c>
      <c r="L38">
        <f t="shared" ca="1" si="2"/>
        <v>1.1562295708643078E-2</v>
      </c>
    </row>
    <row r="39" spans="1:12">
      <c r="A39" t="s">
        <v>11</v>
      </c>
      <c r="B39" s="1">
        <v>45016</v>
      </c>
      <c r="C39">
        <v>162.44000244140599</v>
      </c>
      <c r="D39">
        <v>165</v>
      </c>
      <c r="E39">
        <v>161.91000366210901</v>
      </c>
      <c r="F39">
        <v>164.89999389648401</v>
      </c>
      <c r="G39">
        <v>164.89999389648401</v>
      </c>
      <c r="H39">
        <v>68749800</v>
      </c>
      <c r="I39" s="3">
        <f t="shared" si="0"/>
        <v>1.5644205941023337E-2</v>
      </c>
      <c r="J39">
        <v>0</v>
      </c>
      <c r="K39">
        <f t="shared" ca="1" si="1"/>
        <v>160.44856916155086</v>
      </c>
      <c r="L39">
        <f t="shared" ca="1" si="2"/>
        <v>1.1090991535945819E-2</v>
      </c>
    </row>
    <row r="40" spans="1:12">
      <c r="A40" t="s">
        <v>11</v>
      </c>
      <c r="B40" s="1">
        <v>45019</v>
      </c>
      <c r="C40">
        <v>164.27000427246</v>
      </c>
      <c r="D40">
        <v>166.28999328613199</v>
      </c>
      <c r="E40">
        <v>164.22000122070301</v>
      </c>
      <c r="F40">
        <v>166.169998168945</v>
      </c>
      <c r="G40">
        <v>166.169998168945</v>
      </c>
      <c r="H40">
        <v>56976200</v>
      </c>
      <c r="I40" s="3">
        <f t="shared" si="0"/>
        <v>7.7016635504441044E-3</v>
      </c>
      <c r="J40">
        <v>0</v>
      </c>
      <c r="K40">
        <f t="shared" ca="1" si="1"/>
        <v>161.4828556605743</v>
      </c>
      <c r="L40">
        <f t="shared" ca="1" si="2"/>
        <v>1.1101449701173055E-2</v>
      </c>
    </row>
    <row r="41" spans="1:12">
      <c r="A41" t="s">
        <v>11</v>
      </c>
      <c r="B41" s="1">
        <v>45020</v>
      </c>
      <c r="C41">
        <v>166.600006103515</v>
      </c>
      <c r="D41">
        <v>166.83999633789</v>
      </c>
      <c r="E41">
        <v>165.11000061035099</v>
      </c>
      <c r="F41">
        <v>165.63000488281199</v>
      </c>
      <c r="G41">
        <v>165.63000488281199</v>
      </c>
      <c r="H41">
        <v>46278300</v>
      </c>
      <c r="I41" s="3">
        <f t="shared" si="0"/>
        <v>-3.2496436906980231E-3</v>
      </c>
      <c r="J41">
        <v>0</v>
      </c>
      <c r="K41">
        <f t="shared" ca="1" si="1"/>
        <v>162.2514277866903</v>
      </c>
      <c r="L41">
        <f t="shared" ca="1" si="2"/>
        <v>1.1624084264247544E-2</v>
      </c>
    </row>
    <row r="42" spans="1:12">
      <c r="A42" t="s">
        <v>11</v>
      </c>
      <c r="B42" s="1">
        <v>45021</v>
      </c>
      <c r="C42">
        <v>164.74000549316401</v>
      </c>
      <c r="D42">
        <v>165.05000305175699</v>
      </c>
      <c r="E42">
        <v>161.80000305175699</v>
      </c>
      <c r="F42">
        <v>163.759994506835</v>
      </c>
      <c r="G42">
        <v>163.759994506835</v>
      </c>
      <c r="H42">
        <v>51511700</v>
      </c>
      <c r="I42" s="3">
        <f t="shared" si="0"/>
        <v>-1.1290287513425312E-2</v>
      </c>
      <c r="J42">
        <v>0</v>
      </c>
      <c r="K42">
        <f t="shared" ca="1" si="1"/>
        <v>163.03428431919585</v>
      </c>
      <c r="L42">
        <f t="shared" ca="1" si="2"/>
        <v>1.1382124084132124E-2</v>
      </c>
    </row>
    <row r="43" spans="1:12">
      <c r="A43" t="s">
        <v>11</v>
      </c>
      <c r="B43" s="1">
        <v>45022</v>
      </c>
      <c r="C43">
        <v>162.42999267578099</v>
      </c>
      <c r="D43">
        <v>164.96000671386699</v>
      </c>
      <c r="E43">
        <v>162</v>
      </c>
      <c r="F43">
        <v>164.66000366210901</v>
      </c>
      <c r="G43">
        <v>164.66000366210901</v>
      </c>
      <c r="H43">
        <v>45390100</v>
      </c>
      <c r="I43" s="3">
        <f t="shared" si="0"/>
        <v>5.4959036728376987E-3</v>
      </c>
      <c r="J43">
        <v>0</v>
      </c>
      <c r="K43">
        <f t="shared" ca="1" si="1"/>
        <v>164.03571428571371</v>
      </c>
      <c r="L43">
        <f t="shared" ca="1" si="2"/>
        <v>1.0688192291254893E-2</v>
      </c>
    </row>
    <row r="44" spans="1:12">
      <c r="A44" t="s">
        <v>11</v>
      </c>
      <c r="B44" s="1">
        <v>45026</v>
      </c>
      <c r="C44">
        <v>161.419998168945</v>
      </c>
      <c r="D44">
        <v>162.02999877929599</v>
      </c>
      <c r="E44">
        <v>160.08000183105401</v>
      </c>
      <c r="F44">
        <v>162.02999877929599</v>
      </c>
      <c r="G44">
        <v>162.02999877929599</v>
      </c>
      <c r="H44">
        <v>47716900</v>
      </c>
      <c r="I44" s="3">
        <f t="shared" si="0"/>
        <v>-1.5972335869795851E-2</v>
      </c>
      <c r="J44">
        <v>0</v>
      </c>
      <c r="K44">
        <f t="shared" ca="1" si="1"/>
        <v>164.21571350097602</v>
      </c>
      <c r="L44">
        <f t="shared" ca="1" si="2"/>
        <v>1.1658806531046647E-2</v>
      </c>
    </row>
    <row r="45" spans="1:12">
      <c r="A45" t="s">
        <v>11</v>
      </c>
      <c r="B45" s="1">
        <v>45027</v>
      </c>
      <c r="C45">
        <v>162.350006103515</v>
      </c>
      <c r="D45">
        <v>162.36000061035099</v>
      </c>
      <c r="E45">
        <v>160.509994506835</v>
      </c>
      <c r="F45">
        <v>160.80000305175699</v>
      </c>
      <c r="G45">
        <v>160.80000305175699</v>
      </c>
      <c r="H45">
        <v>47644200</v>
      </c>
      <c r="I45" s="3">
        <f t="shared" si="0"/>
        <v>-7.5911605061135257E-3</v>
      </c>
      <c r="J45">
        <v>0</v>
      </c>
      <c r="K45">
        <f t="shared" ca="1" si="1"/>
        <v>163.99285670689113</v>
      </c>
      <c r="L45">
        <f t="shared" ca="1" si="2"/>
        <v>1.1348859933379142E-2</v>
      </c>
    </row>
    <row r="46" spans="1:12">
      <c r="A46" t="s">
        <v>11</v>
      </c>
      <c r="B46" s="1">
        <v>45028</v>
      </c>
      <c r="C46">
        <v>161.22000122070301</v>
      </c>
      <c r="D46">
        <v>162.05999755859301</v>
      </c>
      <c r="E46">
        <v>159.77999877929599</v>
      </c>
      <c r="F46">
        <v>160.100006103515</v>
      </c>
      <c r="G46">
        <v>160.100006103515</v>
      </c>
      <c r="H46">
        <v>50133100</v>
      </c>
      <c r="I46" s="3">
        <f t="shared" si="0"/>
        <v>-4.3532147696333512E-3</v>
      </c>
      <c r="J46">
        <v>0</v>
      </c>
      <c r="K46">
        <f t="shared" ca="1" si="1"/>
        <v>163.30714416503844</v>
      </c>
      <c r="L46">
        <f t="shared" ca="1" si="2"/>
        <v>8.5336978746670244E-3</v>
      </c>
    </row>
    <row r="47" spans="1:12">
      <c r="A47" t="s">
        <v>11</v>
      </c>
      <c r="B47" s="1">
        <v>45029</v>
      </c>
      <c r="C47">
        <v>161.63000488281199</v>
      </c>
      <c r="D47">
        <v>165.80000305175699</v>
      </c>
      <c r="E47">
        <v>161.419998168945</v>
      </c>
      <c r="F47">
        <v>165.55999755859301</v>
      </c>
      <c r="G47">
        <v>165.55999755859301</v>
      </c>
      <c r="H47">
        <v>68445600</v>
      </c>
      <c r="I47" s="3">
        <f t="shared" si="0"/>
        <v>3.4103630524209727E-2</v>
      </c>
      <c r="J47">
        <v>0</v>
      </c>
      <c r="K47">
        <f t="shared" ca="1" si="1"/>
        <v>163.22000122070244</v>
      </c>
      <c r="L47">
        <f t="shared" ca="1" si="2"/>
        <v>1.6642410210738479E-2</v>
      </c>
    </row>
    <row r="48" spans="1:12">
      <c r="A48" t="s">
        <v>11</v>
      </c>
      <c r="B48" s="1">
        <v>45030</v>
      </c>
      <c r="C48">
        <v>164.58999633789</v>
      </c>
      <c r="D48">
        <v>166.32000732421801</v>
      </c>
      <c r="E48">
        <v>163.82000732421801</v>
      </c>
      <c r="F48">
        <v>165.21000671386699</v>
      </c>
      <c r="G48">
        <v>165.21000671386699</v>
      </c>
      <c r="H48">
        <v>49386500</v>
      </c>
      <c r="I48" s="3">
        <f t="shared" si="0"/>
        <v>-2.1139819394002668E-3</v>
      </c>
      <c r="J48">
        <v>0</v>
      </c>
      <c r="K48">
        <f t="shared" ca="1" si="1"/>
        <v>163.16000148228173</v>
      </c>
      <c r="L48">
        <f t="shared" ca="1" si="2"/>
        <v>1.6615607391913711E-2</v>
      </c>
    </row>
    <row r="49" spans="1:12">
      <c r="A49" t="s">
        <v>11</v>
      </c>
      <c r="B49" s="1">
        <v>45033</v>
      </c>
      <c r="C49">
        <v>165.08999633789</v>
      </c>
      <c r="D49">
        <v>165.38999938964801</v>
      </c>
      <c r="E49">
        <v>164.02999877929599</v>
      </c>
      <c r="F49">
        <v>165.22999572753901</v>
      </c>
      <c r="G49">
        <v>165.22999572753901</v>
      </c>
      <c r="H49">
        <v>41516200</v>
      </c>
      <c r="I49" s="3">
        <f t="shared" si="0"/>
        <v>1.2099154324607397E-4</v>
      </c>
      <c r="J49">
        <v>0</v>
      </c>
      <c r="K49">
        <f t="shared" ca="1" si="1"/>
        <v>163.37000165666799</v>
      </c>
      <c r="L49">
        <f t="shared" ca="1" si="2"/>
        <v>1.5895620860446925E-2</v>
      </c>
    </row>
    <row r="50" spans="1:12">
      <c r="A50" t="s">
        <v>11</v>
      </c>
      <c r="B50" s="1">
        <v>45034</v>
      </c>
      <c r="C50">
        <v>166.100006103515</v>
      </c>
      <c r="D50">
        <v>167.41000366210901</v>
      </c>
      <c r="E50">
        <v>165.64999389648401</v>
      </c>
      <c r="F50">
        <v>166.47000122070301</v>
      </c>
      <c r="G50">
        <v>166.47000122070301</v>
      </c>
      <c r="H50">
        <v>49923000</v>
      </c>
      <c r="I50" s="3">
        <f t="shared" si="0"/>
        <v>7.5047238711349884E-3</v>
      </c>
      <c r="J50">
        <v>0</v>
      </c>
      <c r="K50">
        <f t="shared" ca="1" si="1"/>
        <v>163.62857273646711</v>
      </c>
      <c r="L50">
        <f t="shared" ca="1" si="2"/>
        <v>1.6000013294150586E-2</v>
      </c>
    </row>
    <row r="51" spans="1:12">
      <c r="A51" t="s">
        <v>11</v>
      </c>
      <c r="B51" s="1">
        <v>45035</v>
      </c>
      <c r="C51">
        <v>165.80000305175699</v>
      </c>
      <c r="D51">
        <v>168.16000366210901</v>
      </c>
      <c r="E51">
        <v>165.53999328613199</v>
      </c>
      <c r="F51">
        <v>167.63000488281199</v>
      </c>
      <c r="G51">
        <v>167.63000488281199</v>
      </c>
      <c r="H51">
        <v>47720200</v>
      </c>
      <c r="I51" s="3">
        <f t="shared" si="0"/>
        <v>6.9682444500680507E-3</v>
      </c>
      <c r="J51">
        <v>0</v>
      </c>
      <c r="K51">
        <f t="shared" ca="1" si="1"/>
        <v>164.42857360839798</v>
      </c>
      <c r="L51">
        <f t="shared" ca="1" si="2"/>
        <v>1.4009423949048605E-2</v>
      </c>
    </row>
    <row r="52" spans="1:12">
      <c r="A52" t="s">
        <v>11</v>
      </c>
      <c r="B52" s="1">
        <v>45036</v>
      </c>
      <c r="C52">
        <v>166.08999633789</v>
      </c>
      <c r="D52">
        <v>167.86999511718699</v>
      </c>
      <c r="E52">
        <v>165.55999755859301</v>
      </c>
      <c r="F52">
        <v>166.64999389648401</v>
      </c>
      <c r="G52">
        <v>166.64999389648401</v>
      </c>
      <c r="H52">
        <v>52456400</v>
      </c>
      <c r="I52" s="3">
        <f t="shared" si="0"/>
        <v>-5.8462742813442103E-3</v>
      </c>
      <c r="J52">
        <v>0</v>
      </c>
      <c r="K52">
        <f t="shared" ca="1" si="1"/>
        <v>165.26428658621612</v>
      </c>
      <c r="L52">
        <f t="shared" ca="1" si="2"/>
        <v>1.3762467127764787E-2</v>
      </c>
    </row>
    <row r="53" spans="1:12">
      <c r="A53" t="s">
        <v>11</v>
      </c>
      <c r="B53" s="1">
        <v>45037</v>
      </c>
      <c r="C53">
        <v>165.05000305175699</v>
      </c>
      <c r="D53">
        <v>166.44999694824199</v>
      </c>
      <c r="E53">
        <v>164.49000549316401</v>
      </c>
      <c r="F53">
        <v>165.02000427246</v>
      </c>
      <c r="G53">
        <v>165.02000427246</v>
      </c>
      <c r="H53">
        <v>58337300</v>
      </c>
      <c r="I53" s="3">
        <f t="shared" si="0"/>
        <v>-9.7809161939512723E-3</v>
      </c>
      <c r="J53">
        <v>0</v>
      </c>
      <c r="K53">
        <f t="shared" ca="1" si="1"/>
        <v>165.967143467494</v>
      </c>
      <c r="L53">
        <f t="shared" ca="1" si="2"/>
        <v>1.4522188516153431E-2</v>
      </c>
    </row>
    <row r="54" spans="1:12">
      <c r="A54" t="s">
        <v>11</v>
      </c>
      <c r="B54" s="1">
        <v>45040</v>
      </c>
      <c r="C54">
        <v>165</v>
      </c>
      <c r="D54">
        <v>165.600006103515</v>
      </c>
      <c r="E54">
        <v>163.88999938964801</v>
      </c>
      <c r="F54">
        <v>165.33000183105401</v>
      </c>
      <c r="G54">
        <v>165.33000183105401</v>
      </c>
      <c r="H54">
        <v>41949600</v>
      </c>
      <c r="I54" s="3">
        <f t="shared" si="0"/>
        <v>1.8785453312810674E-3</v>
      </c>
      <c r="J54">
        <v>0</v>
      </c>
      <c r="K54">
        <f t="shared" ca="1" si="1"/>
        <v>165.93428693498845</v>
      </c>
      <c r="L54">
        <f t="shared" ca="1" si="2"/>
        <v>6.3574774332888773E-3</v>
      </c>
    </row>
    <row r="55" spans="1:12">
      <c r="A55" t="s">
        <v>11</v>
      </c>
      <c r="B55" s="1">
        <v>45041</v>
      </c>
      <c r="C55">
        <v>165.19000244140599</v>
      </c>
      <c r="D55">
        <v>166.30999755859301</v>
      </c>
      <c r="E55">
        <v>163.72999572753901</v>
      </c>
      <c r="F55">
        <v>163.77000427246</v>
      </c>
      <c r="G55">
        <v>163.77000427246</v>
      </c>
      <c r="H55">
        <v>48714100</v>
      </c>
      <c r="I55" s="3">
        <f t="shared" si="0"/>
        <v>-9.4356592349652546E-3</v>
      </c>
      <c r="J55">
        <v>0</v>
      </c>
      <c r="K55">
        <f t="shared" ca="1" si="1"/>
        <v>165.72857230050172</v>
      </c>
      <c r="L55">
        <f t="shared" ca="1" si="2"/>
        <v>7.2658538117277146E-3</v>
      </c>
    </row>
    <row r="56" spans="1:12">
      <c r="A56" t="s">
        <v>11</v>
      </c>
      <c r="B56" s="1">
        <v>45042</v>
      </c>
      <c r="C56">
        <v>163.05999755859301</v>
      </c>
      <c r="D56">
        <v>165.27999877929599</v>
      </c>
      <c r="E56">
        <v>162.80000305175699</v>
      </c>
      <c r="F56">
        <v>163.759994506835</v>
      </c>
      <c r="G56">
        <v>163.759994506835</v>
      </c>
      <c r="H56">
        <v>45498800</v>
      </c>
      <c r="I56" s="3">
        <f t="shared" si="0"/>
        <v>-6.1120872955178207E-5</v>
      </c>
      <c r="J56">
        <v>0</v>
      </c>
      <c r="K56">
        <f t="shared" ca="1" si="1"/>
        <v>165.51857212611543</v>
      </c>
      <c r="L56">
        <f t="shared" ca="1" si="2"/>
        <v>7.2605460631784569E-3</v>
      </c>
    </row>
    <row r="57" spans="1:12">
      <c r="A57" t="s">
        <v>11</v>
      </c>
      <c r="B57" s="1">
        <v>45043</v>
      </c>
      <c r="C57">
        <v>165.19000244140599</v>
      </c>
      <c r="D57">
        <v>168.55999755859301</v>
      </c>
      <c r="E57">
        <v>165.19000244140599</v>
      </c>
      <c r="F57">
        <v>168.41000366210901</v>
      </c>
      <c r="G57">
        <v>168.41000366210901</v>
      </c>
      <c r="H57">
        <v>64902300</v>
      </c>
      <c r="I57" s="3">
        <f t="shared" si="0"/>
        <v>2.8395269365253384E-2</v>
      </c>
      <c r="J57">
        <v>0</v>
      </c>
      <c r="K57">
        <f t="shared" ca="1" si="1"/>
        <v>165.79571533203057</v>
      </c>
      <c r="L57">
        <f t="shared" ca="1" si="2"/>
        <v>1.3268251802406967E-2</v>
      </c>
    </row>
    <row r="58" spans="1:12">
      <c r="A58" t="s">
        <v>11</v>
      </c>
      <c r="B58" s="1">
        <v>45044</v>
      </c>
      <c r="C58">
        <v>168.49000549316401</v>
      </c>
      <c r="D58">
        <v>169.850006103515</v>
      </c>
      <c r="E58">
        <v>167.88000488281199</v>
      </c>
      <c r="F58">
        <v>169.67999267578099</v>
      </c>
      <c r="G58">
        <v>169.67999267578099</v>
      </c>
      <c r="H58">
        <v>55209200</v>
      </c>
      <c r="I58" s="3">
        <f t="shared" si="0"/>
        <v>7.5410544864071838E-3</v>
      </c>
      <c r="J58">
        <v>0</v>
      </c>
      <c r="K58">
        <f t="shared" ca="1" si="1"/>
        <v>166.08857073102612</v>
      </c>
      <c r="L58">
        <f t="shared" ca="1" si="2"/>
        <v>1.3307641838777973E-2</v>
      </c>
    </row>
    <row r="59" spans="1:12">
      <c r="A59" t="s">
        <v>11</v>
      </c>
      <c r="B59" s="1">
        <v>45047</v>
      </c>
      <c r="C59">
        <v>169.27999877929599</v>
      </c>
      <c r="D59">
        <v>170.44999694824199</v>
      </c>
      <c r="E59">
        <v>168.63999938964801</v>
      </c>
      <c r="F59">
        <v>169.58999633789</v>
      </c>
      <c r="G59">
        <v>169.58999633789</v>
      </c>
      <c r="H59">
        <v>52472900</v>
      </c>
      <c r="I59" s="3">
        <f t="shared" si="0"/>
        <v>-5.303886243261946E-4</v>
      </c>
      <c r="J59">
        <v>0</v>
      </c>
      <c r="K59">
        <f t="shared" ca="1" si="1"/>
        <v>166.50857107979846</v>
      </c>
      <c r="L59">
        <f t="shared" ca="1" si="2"/>
        <v>1.294443368772343E-2</v>
      </c>
    </row>
    <row r="60" spans="1:12">
      <c r="A60" t="s">
        <v>11</v>
      </c>
      <c r="B60" s="1">
        <v>45048</v>
      </c>
      <c r="C60">
        <v>170.08999633789</v>
      </c>
      <c r="D60">
        <v>170.350006103515</v>
      </c>
      <c r="E60">
        <v>167.53999328613199</v>
      </c>
      <c r="F60">
        <v>168.53999328613199</v>
      </c>
      <c r="G60">
        <v>168.53999328613199</v>
      </c>
      <c r="H60">
        <v>48425700</v>
      </c>
      <c r="I60" s="3">
        <f t="shared" si="0"/>
        <v>-6.1914209235902629E-3</v>
      </c>
      <c r="J60">
        <v>0</v>
      </c>
      <c r="K60">
        <f t="shared" ca="1" si="1"/>
        <v>167.01142665318017</v>
      </c>
      <c r="L60">
        <f t="shared" ca="1" si="2"/>
        <v>1.2434559996525802E-2</v>
      </c>
    </row>
    <row r="61" spans="1:12">
      <c r="A61" t="s">
        <v>11</v>
      </c>
      <c r="B61" s="1">
        <v>45049</v>
      </c>
      <c r="C61">
        <v>169.5</v>
      </c>
      <c r="D61">
        <v>170.919998168945</v>
      </c>
      <c r="E61">
        <v>167.16000366210901</v>
      </c>
      <c r="F61">
        <v>167.44999694824199</v>
      </c>
      <c r="G61">
        <v>167.44999694824199</v>
      </c>
      <c r="H61">
        <v>65136000</v>
      </c>
      <c r="I61" s="3">
        <f t="shared" si="0"/>
        <v>-6.4672859932983773E-3</v>
      </c>
      <c r="J61">
        <v>0</v>
      </c>
      <c r="K61">
        <f t="shared" ca="1" si="1"/>
        <v>167.31428309849272</v>
      </c>
      <c r="L61">
        <f t="shared" ca="1" si="2"/>
        <v>1.2958606955600955E-2</v>
      </c>
    </row>
    <row r="62" spans="1:12">
      <c r="A62" t="s">
        <v>11</v>
      </c>
      <c r="B62" s="1">
        <v>45050</v>
      </c>
      <c r="C62">
        <v>164.88999938964801</v>
      </c>
      <c r="D62">
        <v>167.03999328613199</v>
      </c>
      <c r="E62">
        <v>164.30999755859301</v>
      </c>
      <c r="F62">
        <v>165.78999328613199</v>
      </c>
      <c r="G62">
        <v>165.78999328613199</v>
      </c>
      <c r="H62">
        <v>81235400</v>
      </c>
      <c r="I62" s="3">
        <f t="shared" si="0"/>
        <v>-9.913429037703092E-3</v>
      </c>
      <c r="J62">
        <v>0</v>
      </c>
      <c r="K62">
        <f t="shared" ca="1" si="1"/>
        <v>167.60285295758871</v>
      </c>
      <c r="L62">
        <f t="shared" ca="1" si="2"/>
        <v>1.302928449989193E-2</v>
      </c>
    </row>
    <row r="63" spans="1:12">
      <c r="A63" t="s">
        <v>11</v>
      </c>
      <c r="B63" s="1">
        <v>45051</v>
      </c>
      <c r="C63">
        <v>170.97999572753901</v>
      </c>
      <c r="D63">
        <v>174.30000305175699</v>
      </c>
      <c r="E63">
        <v>170.759994506835</v>
      </c>
      <c r="F63">
        <v>173.57000732421801</v>
      </c>
      <c r="G63">
        <v>173.57000732421801</v>
      </c>
      <c r="H63">
        <v>113316400</v>
      </c>
      <c r="I63" s="3">
        <f t="shared" si="0"/>
        <v>4.6926921727167947E-2</v>
      </c>
      <c r="J63">
        <v>0</v>
      </c>
      <c r="K63">
        <f t="shared" ca="1" si="1"/>
        <v>169.00428336007198</v>
      </c>
      <c r="L63">
        <f t="shared" ca="1" si="2"/>
        <v>2.1345646350231808E-2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3"/>
  <sheetViews>
    <sheetView topLeftCell="E1" workbookViewId="0">
      <selection activeCell="I2" sqref="I2"/>
    </sheetView>
  </sheetViews>
  <sheetFormatPr defaultRowHeight="15"/>
  <cols>
    <col min="1" max="1" width="11.140625" customWidth="1"/>
    <col min="2" max="8" width="11.7109375" customWidth="1"/>
    <col min="9" max="9" width="14.5703125" bestFit="1" customWidth="1"/>
    <col min="10" max="10" width="14.5703125" customWidth="1"/>
    <col min="11" max="11" width="16.5703125" bestFit="1" customWidth="1"/>
    <col min="12" max="12" width="12" bestFit="1" customWidth="1"/>
    <col min="21" max="21" width="15.28515625" bestFit="1" customWidth="1"/>
    <col min="22" max="22" width="16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15</v>
      </c>
      <c r="K1" s="2" t="s">
        <v>9</v>
      </c>
      <c r="L1" s="2" t="s">
        <v>10</v>
      </c>
      <c r="U1" t="s">
        <v>16</v>
      </c>
      <c r="V1" s="4">
        <f>AVERAGE(I2:I63)</f>
        <v>2.6465147231257056E-3</v>
      </c>
    </row>
    <row r="2" spans="1:22">
      <c r="A2" t="s">
        <v>13</v>
      </c>
      <c r="B2" s="1">
        <v>44964</v>
      </c>
      <c r="C2">
        <v>260.52999877929602</v>
      </c>
      <c r="D2">
        <v>268.76998901367102</v>
      </c>
      <c r="E2">
        <v>260.079986572265</v>
      </c>
      <c r="F2">
        <v>267.55999755859301</v>
      </c>
      <c r="G2">
        <v>266.891510009765</v>
      </c>
      <c r="H2">
        <v>50841400</v>
      </c>
      <c r="I2" s="3"/>
      <c r="J2" s="6">
        <v>0</v>
      </c>
      <c r="U2" t="s">
        <v>17</v>
      </c>
      <c r="V2" s="5">
        <f ca="1">AVERAGEIF(L2:L63,"&lt;&gt;")</f>
        <v>1.7351967793493493E-2</v>
      </c>
    </row>
    <row r="3" spans="1:22">
      <c r="A3" t="s">
        <v>13</v>
      </c>
      <c r="B3" s="1">
        <v>44965</v>
      </c>
      <c r="C3">
        <v>273.20001220703102</v>
      </c>
      <c r="D3">
        <v>276.760009765625</v>
      </c>
      <c r="E3">
        <v>266.20999145507801</v>
      </c>
      <c r="F3">
        <v>266.73001098632801</v>
      </c>
      <c r="G3">
        <v>266.06359863281199</v>
      </c>
      <c r="H3">
        <v>54686000</v>
      </c>
      <c r="I3" s="3">
        <f>(G3/G2)-1</f>
        <v>-3.1020521294315984E-3</v>
      </c>
      <c r="J3" s="6">
        <v>0</v>
      </c>
      <c r="U3" t="s">
        <v>18</v>
      </c>
      <c r="V3" s="4">
        <f>MAX(I2:I63)</f>
        <v>7.2434756796232458E-2</v>
      </c>
    </row>
    <row r="4" spans="1:22">
      <c r="A4" t="s">
        <v>13</v>
      </c>
      <c r="B4" s="1">
        <v>44966</v>
      </c>
      <c r="C4">
        <v>273.79998779296801</v>
      </c>
      <c r="D4">
        <v>273.98001098632801</v>
      </c>
      <c r="E4">
        <v>262.79998779296801</v>
      </c>
      <c r="F4">
        <v>263.61999511718699</v>
      </c>
      <c r="G4">
        <v>262.96136474609301</v>
      </c>
      <c r="H4">
        <v>42375100</v>
      </c>
      <c r="I4" s="3">
        <f t="shared" ref="I4:I63" si="0">(G4/G3)-1</f>
        <v>-1.1659745649762132E-2</v>
      </c>
      <c r="J4" s="6">
        <v>0</v>
      </c>
      <c r="U4" t="s">
        <v>19</v>
      </c>
      <c r="V4" s="4">
        <f>MIN(I2:I63)</f>
        <v>-2.6622654213366626E-2</v>
      </c>
    </row>
    <row r="5" spans="1:22">
      <c r="A5" t="s">
        <v>13</v>
      </c>
      <c r="B5" s="1">
        <v>44967</v>
      </c>
      <c r="C5">
        <v>261.52999877929602</v>
      </c>
      <c r="D5">
        <v>264.08999633789</v>
      </c>
      <c r="E5">
        <v>260.66000366210898</v>
      </c>
      <c r="F5">
        <v>263.100006103515</v>
      </c>
      <c r="G5">
        <v>262.44265747070301</v>
      </c>
      <c r="H5">
        <v>25818500</v>
      </c>
      <c r="I5" s="3">
        <f t="shared" si="0"/>
        <v>-1.9725607824208069E-3</v>
      </c>
      <c r="J5" s="6">
        <v>0</v>
      </c>
      <c r="U5" t="s">
        <v>20</v>
      </c>
      <c r="V5" s="4" cm="1">
        <f t="array" aca="1" ref="V5" ca="1">INDEX(L2:L63,COUNTA(L2:L63))</f>
        <v>3.3033033165613901E-2</v>
      </c>
    </row>
    <row r="6" spans="1:22">
      <c r="A6" t="s">
        <v>13</v>
      </c>
      <c r="B6" s="1">
        <v>44970</v>
      </c>
      <c r="C6">
        <v>267.64001464843699</v>
      </c>
      <c r="D6">
        <v>274.600006103515</v>
      </c>
      <c r="E6">
        <v>267.14999389648398</v>
      </c>
      <c r="F6">
        <v>271.32000732421801</v>
      </c>
      <c r="G6">
        <v>270.64212036132801</v>
      </c>
      <c r="H6">
        <v>44630900</v>
      </c>
      <c r="I6" s="3">
        <f t="shared" si="0"/>
        <v>3.1242874042076485E-2</v>
      </c>
      <c r="J6" s="6">
        <v>0</v>
      </c>
    </row>
    <row r="7" spans="1:22">
      <c r="A7" t="s">
        <v>13</v>
      </c>
      <c r="B7" s="1">
        <v>44971</v>
      </c>
      <c r="C7">
        <v>272.67001342773398</v>
      </c>
      <c r="D7">
        <v>274.97000122070301</v>
      </c>
      <c r="E7">
        <v>269.27999877929602</v>
      </c>
      <c r="F7">
        <v>272.17001342773398</v>
      </c>
      <c r="G7">
        <v>271.49002075195301</v>
      </c>
      <c r="H7">
        <v>37047900</v>
      </c>
      <c r="I7" s="3">
        <f t="shared" si="0"/>
        <v>3.1329210305217625E-3</v>
      </c>
      <c r="J7" s="6">
        <v>0</v>
      </c>
    </row>
    <row r="8" spans="1:22">
      <c r="A8" t="s">
        <v>13</v>
      </c>
      <c r="B8" s="1">
        <v>44972</v>
      </c>
      <c r="C8">
        <v>268.32000732421801</v>
      </c>
      <c r="D8">
        <v>270.73001098632801</v>
      </c>
      <c r="E8">
        <v>266.17999267578102</v>
      </c>
      <c r="F8">
        <v>269.32000732421801</v>
      </c>
      <c r="G8">
        <v>269.32000732421801</v>
      </c>
      <c r="H8">
        <v>28922400</v>
      </c>
      <c r="I8" s="3">
        <f t="shared" si="0"/>
        <v>-7.9929767647616279E-3</v>
      </c>
      <c r="J8" s="6">
        <v>0</v>
      </c>
      <c r="K8">
        <f ca="1">AVERAGE(OFFSET(G8,-6,0,7,1))</f>
        <v>267.11589704241038</v>
      </c>
      <c r="L8">
        <f ca="1">STDEV(OFFSET(I8,-6,0,7,1))</f>
        <v>1.538679940498794E-2</v>
      </c>
    </row>
    <row r="9" spans="1:22">
      <c r="A9" t="s">
        <v>13</v>
      </c>
      <c r="B9" s="1">
        <v>44973</v>
      </c>
      <c r="C9">
        <v>264.01998901367102</v>
      </c>
      <c r="D9">
        <v>266.739990234375</v>
      </c>
      <c r="E9">
        <v>261.89999389648398</v>
      </c>
      <c r="F9">
        <v>262.14999389648398</v>
      </c>
      <c r="G9">
        <v>262.14999389648398</v>
      </c>
      <c r="H9">
        <v>29603600</v>
      </c>
      <c r="I9" s="3">
        <f t="shared" si="0"/>
        <v>-2.6622654213366626E-2</v>
      </c>
      <c r="J9" s="6">
        <v>0</v>
      </c>
      <c r="K9">
        <f t="shared" ref="K9:K63" ca="1" si="1">AVERAGE(OFFSET(G9,-6,0,7,1))</f>
        <v>266.43853759765591</v>
      </c>
      <c r="L9">
        <f t="shared" ref="L9:L63" ca="1" si="2">STDEV(OFFSET(I9,-6,0,7,1))</f>
        <v>1.7639391010519152E-2</v>
      </c>
    </row>
    <row r="10" spans="1:22">
      <c r="A10" t="s">
        <v>13</v>
      </c>
      <c r="B10" s="1">
        <v>44974</v>
      </c>
      <c r="C10">
        <v>259.39001464843699</v>
      </c>
      <c r="D10">
        <v>260.08999633789</v>
      </c>
      <c r="E10">
        <v>256</v>
      </c>
      <c r="F10">
        <v>258.05999755859301</v>
      </c>
      <c r="G10">
        <v>258.05999755859301</v>
      </c>
      <c r="H10">
        <v>30000100</v>
      </c>
      <c r="I10" s="3">
        <f t="shared" si="0"/>
        <v>-1.5601741114310341E-2</v>
      </c>
      <c r="J10" s="6">
        <v>0</v>
      </c>
      <c r="K10">
        <f t="shared" ca="1" si="1"/>
        <v>265.2951660156246</v>
      </c>
      <c r="L10">
        <f t="shared" ca="1" si="2"/>
        <v>1.8338208550973609E-2</v>
      </c>
    </row>
    <row r="11" spans="1:22">
      <c r="A11" t="s">
        <v>13</v>
      </c>
      <c r="B11" s="1">
        <v>44978</v>
      </c>
      <c r="C11">
        <v>254.47999572753901</v>
      </c>
      <c r="D11">
        <v>255.49000549316401</v>
      </c>
      <c r="E11">
        <v>251.58999633789</v>
      </c>
      <c r="F11">
        <v>252.669998168945</v>
      </c>
      <c r="G11">
        <v>252.669998168945</v>
      </c>
      <c r="H11">
        <v>28397400</v>
      </c>
      <c r="I11" s="3">
        <f t="shared" si="0"/>
        <v>-2.0886613348216398E-2</v>
      </c>
      <c r="J11" s="6">
        <v>0</v>
      </c>
      <c r="K11">
        <f t="shared" ca="1" si="1"/>
        <v>263.82497079031771</v>
      </c>
      <c r="L11">
        <f t="shared" ca="1" si="2"/>
        <v>1.9270779635546624E-2</v>
      </c>
    </row>
    <row r="12" spans="1:22">
      <c r="A12" t="s">
        <v>13</v>
      </c>
      <c r="B12" s="1">
        <v>44979</v>
      </c>
      <c r="C12">
        <v>254.08999633789</v>
      </c>
      <c r="D12">
        <v>254.33999633789</v>
      </c>
      <c r="E12">
        <v>250.33999633789</v>
      </c>
      <c r="F12">
        <v>251.509994506835</v>
      </c>
      <c r="G12">
        <v>251.509994506835</v>
      </c>
      <c r="H12">
        <v>22491100</v>
      </c>
      <c r="I12" s="3">
        <f t="shared" si="0"/>
        <v>-4.5909829837984528E-3</v>
      </c>
      <c r="J12" s="6">
        <v>0</v>
      </c>
      <c r="K12">
        <f t="shared" ca="1" si="1"/>
        <v>262.26316179547945</v>
      </c>
      <c r="L12">
        <f t="shared" ca="1" si="2"/>
        <v>1.9215581946100253E-2</v>
      </c>
    </row>
    <row r="13" spans="1:22">
      <c r="A13" t="s">
        <v>13</v>
      </c>
      <c r="B13" s="1">
        <v>44980</v>
      </c>
      <c r="C13">
        <v>255.55999755859301</v>
      </c>
      <c r="D13">
        <v>256.83999633789</v>
      </c>
      <c r="E13">
        <v>250.47999572753901</v>
      </c>
      <c r="F13">
        <v>254.77000427246</v>
      </c>
      <c r="G13">
        <v>254.77000427246</v>
      </c>
      <c r="H13">
        <v>29219100</v>
      </c>
      <c r="I13" s="3">
        <f t="shared" si="0"/>
        <v>1.2961750375038994E-2</v>
      </c>
      <c r="J13" s="6">
        <v>0</v>
      </c>
      <c r="K13">
        <f t="shared" ca="1" si="1"/>
        <v>259.99571663992685</v>
      </c>
      <c r="L13">
        <f t="shared" ca="1" si="2"/>
        <v>1.3806768528616287E-2</v>
      </c>
    </row>
    <row r="14" spans="1:22">
      <c r="A14" t="s">
        <v>13</v>
      </c>
      <c r="B14" s="1">
        <v>44981</v>
      </c>
      <c r="C14">
        <v>249.96000671386699</v>
      </c>
      <c r="D14">
        <v>251</v>
      </c>
      <c r="E14">
        <v>248.100006103515</v>
      </c>
      <c r="F14">
        <v>249.22000122070301</v>
      </c>
      <c r="G14">
        <v>249.22000122070301</v>
      </c>
      <c r="H14">
        <v>24990900</v>
      </c>
      <c r="I14" s="3">
        <f t="shared" si="0"/>
        <v>-2.1784366128995369E-2</v>
      </c>
      <c r="J14" s="6">
        <v>0</v>
      </c>
      <c r="K14">
        <f t="shared" ca="1" si="1"/>
        <v>256.81428527831974</v>
      </c>
      <c r="L14">
        <f t="shared" ca="1" si="2"/>
        <v>1.3512344678736613E-2</v>
      </c>
    </row>
    <row r="15" spans="1:22">
      <c r="A15" t="s">
        <v>13</v>
      </c>
      <c r="B15" s="1">
        <v>44984</v>
      </c>
      <c r="C15">
        <v>252.46000671386699</v>
      </c>
      <c r="D15">
        <v>252.82000732421801</v>
      </c>
      <c r="E15">
        <v>249.38999938964801</v>
      </c>
      <c r="F15">
        <v>250.16000366210901</v>
      </c>
      <c r="G15">
        <v>250.16000366210901</v>
      </c>
      <c r="H15">
        <v>21190000</v>
      </c>
      <c r="I15" s="3">
        <f t="shared" si="0"/>
        <v>3.7717776936112557E-3</v>
      </c>
      <c r="J15" s="6">
        <v>0</v>
      </c>
      <c r="K15">
        <f t="shared" ca="1" si="1"/>
        <v>254.0771418980184</v>
      </c>
      <c r="L15">
        <f t="shared" ca="1" si="2"/>
        <v>1.4777011969248497E-2</v>
      </c>
    </row>
    <row r="16" spans="1:22">
      <c r="A16" t="s">
        <v>13</v>
      </c>
      <c r="B16" s="1">
        <v>44985</v>
      </c>
      <c r="C16">
        <v>249.07000732421801</v>
      </c>
      <c r="D16">
        <v>251.49000549316401</v>
      </c>
      <c r="E16">
        <v>248.72999572753901</v>
      </c>
      <c r="F16">
        <v>249.419998168945</v>
      </c>
      <c r="G16">
        <v>249.419998168945</v>
      </c>
      <c r="H16">
        <v>22491000</v>
      </c>
      <c r="I16" s="3">
        <f t="shared" si="0"/>
        <v>-2.9581287269387913E-3</v>
      </c>
      <c r="J16" s="6">
        <v>0</v>
      </c>
      <c r="K16">
        <f t="shared" ca="1" si="1"/>
        <v>252.2585710797986</v>
      </c>
      <c r="L16">
        <f t="shared" ca="1" si="2"/>
        <v>1.3051482083507615E-2</v>
      </c>
    </row>
    <row r="17" spans="1:12">
      <c r="A17" t="s">
        <v>13</v>
      </c>
      <c r="B17" s="1">
        <v>44986</v>
      </c>
      <c r="C17">
        <v>250.759994506835</v>
      </c>
      <c r="D17">
        <v>250.92999267578099</v>
      </c>
      <c r="E17">
        <v>245.78999328613199</v>
      </c>
      <c r="F17">
        <v>246.27000427246</v>
      </c>
      <c r="G17">
        <v>246.27000427246</v>
      </c>
      <c r="H17">
        <v>27565300</v>
      </c>
      <c r="I17" s="3">
        <f t="shared" si="0"/>
        <v>-1.2629275597826561E-2</v>
      </c>
      <c r="J17" s="6">
        <v>0</v>
      </c>
      <c r="K17">
        <f t="shared" ca="1" si="1"/>
        <v>250.57428632463672</v>
      </c>
      <c r="L17">
        <f t="shared" ca="1" si="2"/>
        <v>1.2770791375001166E-2</v>
      </c>
    </row>
    <row r="18" spans="1:12">
      <c r="A18" t="s">
        <v>13</v>
      </c>
      <c r="B18" s="1">
        <v>44987</v>
      </c>
      <c r="C18">
        <v>246.55000305175699</v>
      </c>
      <c r="D18">
        <v>251.39999389648401</v>
      </c>
      <c r="E18">
        <v>245.61000061035099</v>
      </c>
      <c r="F18">
        <v>251.11000061035099</v>
      </c>
      <c r="G18">
        <v>251.11000061035099</v>
      </c>
      <c r="H18">
        <v>24808200</v>
      </c>
      <c r="I18" s="3">
        <f t="shared" si="0"/>
        <v>1.9653210922659925E-2</v>
      </c>
      <c r="J18" s="6">
        <v>0</v>
      </c>
      <c r="K18">
        <f t="shared" ca="1" si="1"/>
        <v>250.35142953055188</v>
      </c>
      <c r="L18">
        <f t="shared" ca="1" si="2"/>
        <v>1.4305739722895431E-2</v>
      </c>
    </row>
    <row r="19" spans="1:12">
      <c r="A19" t="s">
        <v>13</v>
      </c>
      <c r="B19" s="1">
        <v>44988</v>
      </c>
      <c r="C19">
        <v>252.19000244140599</v>
      </c>
      <c r="D19">
        <v>255.61999511718699</v>
      </c>
      <c r="E19">
        <v>251.38999938964801</v>
      </c>
      <c r="F19">
        <v>255.28999328613199</v>
      </c>
      <c r="G19">
        <v>255.28999328613199</v>
      </c>
      <c r="H19">
        <v>30760100</v>
      </c>
      <c r="I19" s="3">
        <f t="shared" si="0"/>
        <v>1.664606214655362E-2</v>
      </c>
      <c r="J19" s="6">
        <v>0</v>
      </c>
      <c r="K19">
        <f t="shared" ca="1" si="1"/>
        <v>250.8914293561657</v>
      </c>
      <c r="L19">
        <f t="shared" ca="1" si="2"/>
        <v>1.5563540893038429E-2</v>
      </c>
    </row>
    <row r="20" spans="1:12">
      <c r="A20" t="s">
        <v>13</v>
      </c>
      <c r="B20" s="1">
        <v>44991</v>
      </c>
      <c r="C20">
        <v>256.42999267578102</v>
      </c>
      <c r="D20">
        <v>260.11999511718699</v>
      </c>
      <c r="E20">
        <v>255.97999572753901</v>
      </c>
      <c r="F20">
        <v>256.86999511718699</v>
      </c>
      <c r="G20">
        <v>256.86999511718699</v>
      </c>
      <c r="H20">
        <v>24109800</v>
      </c>
      <c r="I20" s="3">
        <f t="shared" si="0"/>
        <v>6.1890472506069827E-3</v>
      </c>
      <c r="J20" s="6">
        <v>0</v>
      </c>
      <c r="K20">
        <f t="shared" ca="1" si="1"/>
        <v>251.19142804826956</v>
      </c>
      <c r="L20">
        <f t="shared" ca="1" si="2"/>
        <v>1.4985506221733766E-2</v>
      </c>
    </row>
    <row r="21" spans="1:12">
      <c r="A21" t="s">
        <v>13</v>
      </c>
      <c r="B21" s="1">
        <v>44992</v>
      </c>
      <c r="C21">
        <v>256.29998779296801</v>
      </c>
      <c r="D21">
        <v>257.69000244140602</v>
      </c>
      <c r="E21">
        <v>253.38999938964801</v>
      </c>
      <c r="F21">
        <v>254.14999389648401</v>
      </c>
      <c r="G21">
        <v>254.14999389648401</v>
      </c>
      <c r="H21">
        <v>21473200</v>
      </c>
      <c r="I21" s="3">
        <f t="shared" si="0"/>
        <v>-1.058901885158714E-2</v>
      </c>
      <c r="J21" s="6">
        <v>0</v>
      </c>
      <c r="K21">
        <f t="shared" ca="1" si="1"/>
        <v>251.89571271623828</v>
      </c>
      <c r="L21">
        <f t="shared" ca="1" si="2"/>
        <v>1.2507498724417291E-2</v>
      </c>
    </row>
    <row r="22" spans="1:12">
      <c r="A22" t="s">
        <v>13</v>
      </c>
      <c r="B22" s="1">
        <v>44993</v>
      </c>
      <c r="C22">
        <v>254.03999328613199</v>
      </c>
      <c r="D22">
        <v>254.53999328613199</v>
      </c>
      <c r="E22">
        <v>250.80999755859301</v>
      </c>
      <c r="F22">
        <v>253.69999694824199</v>
      </c>
      <c r="G22">
        <v>253.69999694824199</v>
      </c>
      <c r="H22">
        <v>17340200</v>
      </c>
      <c r="I22" s="3">
        <f t="shared" si="0"/>
        <v>-1.7705959435329044E-3</v>
      </c>
      <c r="J22" s="6">
        <v>0</v>
      </c>
      <c r="K22">
        <f t="shared" ca="1" si="1"/>
        <v>252.40142604282869</v>
      </c>
      <c r="L22">
        <f t="shared" ca="1" si="2"/>
        <v>1.2615788952817668E-2</v>
      </c>
    </row>
    <row r="23" spans="1:12">
      <c r="A23" t="s">
        <v>13</v>
      </c>
      <c r="B23" s="1">
        <v>44994</v>
      </c>
      <c r="C23">
        <v>255.82000732421801</v>
      </c>
      <c r="D23">
        <v>259.55999755859301</v>
      </c>
      <c r="E23">
        <v>251.58000183105401</v>
      </c>
      <c r="F23">
        <v>252.32000732421801</v>
      </c>
      <c r="G23">
        <v>252.32000732421801</v>
      </c>
      <c r="H23">
        <v>26653400</v>
      </c>
      <c r="I23" s="3">
        <f t="shared" si="0"/>
        <v>-5.4394546339135985E-3</v>
      </c>
      <c r="J23" s="6">
        <v>0</v>
      </c>
      <c r="K23">
        <f t="shared" ca="1" si="1"/>
        <v>252.81571306501058</v>
      </c>
      <c r="L23">
        <f t="shared" ca="1" si="2"/>
        <v>1.2814155047530904E-2</v>
      </c>
    </row>
    <row r="24" spans="1:12">
      <c r="A24" t="s">
        <v>13</v>
      </c>
      <c r="B24" s="1">
        <v>44995</v>
      </c>
      <c r="C24">
        <v>251.08000183105401</v>
      </c>
      <c r="D24">
        <v>252.78999328613199</v>
      </c>
      <c r="E24">
        <v>247.600006103515</v>
      </c>
      <c r="F24">
        <v>248.58999633789</v>
      </c>
      <c r="G24">
        <v>248.58999633789</v>
      </c>
      <c r="H24">
        <v>28333900</v>
      </c>
      <c r="I24" s="3">
        <f t="shared" si="0"/>
        <v>-1.4782858584555858E-2</v>
      </c>
      <c r="J24" s="6">
        <v>0</v>
      </c>
      <c r="K24">
        <f t="shared" ca="1" si="1"/>
        <v>253.14714050292918</v>
      </c>
      <c r="L24">
        <f t="shared" ca="1" si="2"/>
        <v>1.3235103448809089E-2</v>
      </c>
    </row>
    <row r="25" spans="1:12">
      <c r="A25" t="s">
        <v>13</v>
      </c>
      <c r="B25" s="1">
        <v>44998</v>
      </c>
      <c r="C25">
        <v>247.39999389648401</v>
      </c>
      <c r="D25">
        <v>257.91000366210898</v>
      </c>
      <c r="E25">
        <v>245.72999572753901</v>
      </c>
      <c r="F25">
        <v>253.919998168945</v>
      </c>
      <c r="G25">
        <v>253.919998168945</v>
      </c>
      <c r="H25">
        <v>33339700</v>
      </c>
      <c r="I25" s="3">
        <f t="shared" si="0"/>
        <v>2.144093450892659E-2</v>
      </c>
      <c r="J25" s="6">
        <v>0</v>
      </c>
      <c r="K25">
        <f t="shared" ca="1" si="1"/>
        <v>253.54856872558543</v>
      </c>
      <c r="L25">
        <f t="shared" ca="1" si="2"/>
        <v>1.365623312418259E-2</v>
      </c>
    </row>
    <row r="26" spans="1:12">
      <c r="A26" t="s">
        <v>13</v>
      </c>
      <c r="B26" s="1">
        <v>44999</v>
      </c>
      <c r="C26">
        <v>256.75</v>
      </c>
      <c r="D26">
        <v>261.07000732421801</v>
      </c>
      <c r="E26">
        <v>255.86000061035099</v>
      </c>
      <c r="F26">
        <v>260.79000854492102</v>
      </c>
      <c r="G26">
        <v>260.79000854492102</v>
      </c>
      <c r="H26">
        <v>33620300</v>
      </c>
      <c r="I26" s="3">
        <f t="shared" si="0"/>
        <v>2.7055806653736081E-2</v>
      </c>
      <c r="J26" s="6">
        <v>0</v>
      </c>
      <c r="K26">
        <f t="shared" ca="1" si="1"/>
        <v>254.33428519112672</v>
      </c>
      <c r="L26">
        <f t="shared" ca="1" si="2"/>
        <v>1.5935392067722581E-2</v>
      </c>
    </row>
    <row r="27" spans="1:12">
      <c r="A27" t="s">
        <v>13</v>
      </c>
      <c r="B27" s="1">
        <v>45000</v>
      </c>
      <c r="C27">
        <v>259.98001098632801</v>
      </c>
      <c r="D27">
        <v>266.48001098632801</v>
      </c>
      <c r="E27">
        <v>259.20999145507801</v>
      </c>
      <c r="F27">
        <v>265.44000244140602</v>
      </c>
      <c r="G27">
        <v>265.44000244140602</v>
      </c>
      <c r="H27">
        <v>46028000</v>
      </c>
      <c r="I27" s="3">
        <f t="shared" si="0"/>
        <v>1.7830414295507913E-2</v>
      </c>
      <c r="J27" s="6">
        <v>0</v>
      </c>
      <c r="K27">
        <f t="shared" ca="1" si="1"/>
        <v>255.55857195172942</v>
      </c>
      <c r="L27">
        <f t="shared" ca="1" si="2"/>
        <v>1.6883718629991263E-2</v>
      </c>
    </row>
    <row r="28" spans="1:12">
      <c r="A28" t="s">
        <v>13</v>
      </c>
      <c r="B28" s="1">
        <v>45001</v>
      </c>
      <c r="C28">
        <v>265.20999145507801</v>
      </c>
      <c r="D28">
        <v>276.55999755859301</v>
      </c>
      <c r="E28">
        <v>263.27999877929602</v>
      </c>
      <c r="F28">
        <v>276.20001220703102</v>
      </c>
      <c r="G28">
        <v>276.20001220703102</v>
      </c>
      <c r="H28">
        <v>54768800</v>
      </c>
      <c r="I28" s="3">
        <f t="shared" si="0"/>
        <v>4.0536504169149001E-2</v>
      </c>
      <c r="J28" s="6">
        <v>0</v>
      </c>
      <c r="K28">
        <f t="shared" ca="1" si="1"/>
        <v>258.70857456752185</v>
      </c>
      <c r="L28">
        <f t="shared" ca="1" si="2"/>
        <v>1.9896027445959395E-2</v>
      </c>
    </row>
    <row r="29" spans="1:12">
      <c r="A29" t="s">
        <v>13</v>
      </c>
      <c r="B29" s="1">
        <v>45002</v>
      </c>
      <c r="C29">
        <v>278.260009765625</v>
      </c>
      <c r="D29">
        <v>283.329986572265</v>
      </c>
      <c r="E29">
        <v>276.32000732421801</v>
      </c>
      <c r="F29">
        <v>279.42999267578102</v>
      </c>
      <c r="G29">
        <v>279.42999267578102</v>
      </c>
      <c r="H29">
        <v>69527400</v>
      </c>
      <c r="I29" s="3">
        <f t="shared" si="0"/>
        <v>1.1694353099191312E-2</v>
      </c>
      <c r="J29" s="6">
        <v>0</v>
      </c>
      <c r="K29">
        <f t="shared" ca="1" si="1"/>
        <v>262.38428824288457</v>
      </c>
      <c r="L29">
        <f t="shared" ca="1" si="2"/>
        <v>1.8957518183948509E-2</v>
      </c>
    </row>
    <row r="30" spans="1:12">
      <c r="A30" t="s">
        <v>13</v>
      </c>
      <c r="B30" s="1">
        <v>45005</v>
      </c>
      <c r="C30">
        <v>276.98001098632801</v>
      </c>
      <c r="D30">
        <v>277.48001098632801</v>
      </c>
      <c r="E30">
        <v>269.850006103515</v>
      </c>
      <c r="F30">
        <v>272.23001098632801</v>
      </c>
      <c r="G30">
        <v>272.23001098632801</v>
      </c>
      <c r="H30">
        <v>43466600</v>
      </c>
      <c r="I30" s="3">
        <f t="shared" si="0"/>
        <v>-2.5766674581017668E-2</v>
      </c>
      <c r="J30" s="6">
        <v>0</v>
      </c>
      <c r="K30">
        <f t="shared" ca="1" si="1"/>
        <v>265.22857448032886</v>
      </c>
      <c r="L30">
        <f t="shared" ca="1" si="2"/>
        <v>2.3461822433199477E-2</v>
      </c>
    </row>
    <row r="31" spans="1:12">
      <c r="A31" t="s">
        <v>13</v>
      </c>
      <c r="B31" s="1">
        <v>45006</v>
      </c>
      <c r="C31">
        <v>274.88000488281199</v>
      </c>
      <c r="D31">
        <v>275</v>
      </c>
      <c r="E31">
        <v>269.51998901367102</v>
      </c>
      <c r="F31">
        <v>273.77999877929602</v>
      </c>
      <c r="G31">
        <v>273.77999877929602</v>
      </c>
      <c r="H31">
        <v>34558700</v>
      </c>
      <c r="I31" s="3">
        <f t="shared" si="0"/>
        <v>5.6936698027971744E-3</v>
      </c>
      <c r="J31" s="6">
        <v>0</v>
      </c>
      <c r="K31">
        <f t="shared" ca="1" si="1"/>
        <v>268.82714625767261</v>
      </c>
      <c r="L31">
        <f t="shared" ca="1" si="2"/>
        <v>2.0818043665997422E-2</v>
      </c>
    </row>
    <row r="32" spans="1:12">
      <c r="A32" t="s">
        <v>13</v>
      </c>
      <c r="B32" s="1">
        <v>45007</v>
      </c>
      <c r="C32">
        <v>273.39999389648398</v>
      </c>
      <c r="D32">
        <v>281.04000854492102</v>
      </c>
      <c r="E32">
        <v>272.17999267578102</v>
      </c>
      <c r="F32">
        <v>272.29000854492102</v>
      </c>
      <c r="G32">
        <v>272.29000854492102</v>
      </c>
      <c r="H32">
        <v>34873300</v>
      </c>
      <c r="I32" s="3">
        <f t="shared" si="0"/>
        <v>-5.4422903098050313E-3</v>
      </c>
      <c r="J32" s="6">
        <v>0</v>
      </c>
      <c r="K32">
        <f t="shared" ca="1" si="1"/>
        <v>271.45143345424054</v>
      </c>
      <c r="L32">
        <f t="shared" ca="1" si="2"/>
        <v>2.1692787351349808E-2</v>
      </c>
    </row>
    <row r="33" spans="1:12">
      <c r="A33" t="s">
        <v>13</v>
      </c>
      <c r="B33" s="1">
        <v>45008</v>
      </c>
      <c r="C33">
        <v>277.94000244140602</v>
      </c>
      <c r="D33">
        <v>281.05999755859301</v>
      </c>
      <c r="E33">
        <v>275.20001220703102</v>
      </c>
      <c r="F33">
        <v>277.66000366210898</v>
      </c>
      <c r="G33">
        <v>277.66000366210898</v>
      </c>
      <c r="H33">
        <v>36610900</v>
      </c>
      <c r="I33" s="3">
        <f t="shared" si="0"/>
        <v>1.9721601779971509E-2</v>
      </c>
      <c r="J33" s="6">
        <v>0</v>
      </c>
      <c r="K33">
        <f t="shared" ca="1" si="1"/>
        <v>273.86143275669599</v>
      </c>
      <c r="L33">
        <f t="shared" ca="1" si="2"/>
        <v>2.0907507778324154E-2</v>
      </c>
    </row>
    <row r="34" spans="1:12">
      <c r="A34" t="s">
        <v>13</v>
      </c>
      <c r="B34" s="1">
        <v>45009</v>
      </c>
      <c r="C34">
        <v>277.239990234375</v>
      </c>
      <c r="D34">
        <v>280.63000488281199</v>
      </c>
      <c r="E34">
        <v>275.27999877929602</v>
      </c>
      <c r="F34">
        <v>280.57000732421801</v>
      </c>
      <c r="G34">
        <v>280.57000732421801</v>
      </c>
      <c r="H34">
        <v>28172000</v>
      </c>
      <c r="I34" s="3">
        <f t="shared" si="0"/>
        <v>1.0480456759088375E-2</v>
      </c>
      <c r="J34" s="6">
        <v>0</v>
      </c>
      <c r="K34">
        <f t="shared" ca="1" si="1"/>
        <v>276.02286202566916</v>
      </c>
      <c r="L34">
        <f t="shared" ca="1" si="2"/>
        <v>2.0582773188279429E-2</v>
      </c>
    </row>
    <row r="35" spans="1:12">
      <c r="A35" t="s">
        <v>13</v>
      </c>
      <c r="B35" s="1">
        <v>45012</v>
      </c>
      <c r="C35">
        <v>280.5</v>
      </c>
      <c r="D35">
        <v>281.45999145507801</v>
      </c>
      <c r="E35">
        <v>275.51998901367102</v>
      </c>
      <c r="F35">
        <v>276.38000488281199</v>
      </c>
      <c r="G35">
        <v>276.38000488281199</v>
      </c>
      <c r="H35">
        <v>26840200</v>
      </c>
      <c r="I35" s="3">
        <f t="shared" si="0"/>
        <v>-1.4933892903827739E-2</v>
      </c>
      <c r="J35" s="6">
        <v>0</v>
      </c>
      <c r="K35">
        <f t="shared" ca="1" si="1"/>
        <v>276.04857526506646</v>
      </c>
      <c r="L35">
        <f t="shared" ca="1" si="2"/>
        <v>1.624920158490676E-2</v>
      </c>
    </row>
    <row r="36" spans="1:12">
      <c r="A36" t="s">
        <v>13</v>
      </c>
      <c r="B36" s="1">
        <v>45013</v>
      </c>
      <c r="C36">
        <v>275.79000854492102</v>
      </c>
      <c r="D36">
        <v>276.14001464843699</v>
      </c>
      <c r="E36">
        <v>272.04998779296801</v>
      </c>
      <c r="F36">
        <v>275.23001098632801</v>
      </c>
      <c r="G36">
        <v>275.23001098632801</v>
      </c>
      <c r="H36">
        <v>21878600</v>
      </c>
      <c r="I36" s="3">
        <f t="shared" si="0"/>
        <v>-4.1609156819125692E-3</v>
      </c>
      <c r="J36" s="6">
        <v>0</v>
      </c>
      <c r="K36">
        <f t="shared" ca="1" si="1"/>
        <v>275.44857788085886</v>
      </c>
      <c r="L36">
        <f t="shared" ca="1" si="2"/>
        <v>1.5467265861885345E-2</v>
      </c>
    </row>
    <row r="37" spans="1:12">
      <c r="A37" t="s">
        <v>13</v>
      </c>
      <c r="B37" s="1">
        <v>45014</v>
      </c>
      <c r="C37">
        <v>278.95999145507801</v>
      </c>
      <c r="D37">
        <v>281.14001464843699</v>
      </c>
      <c r="E37">
        <v>278.41000366210898</v>
      </c>
      <c r="F37">
        <v>280.510009765625</v>
      </c>
      <c r="G37">
        <v>280.510009765625</v>
      </c>
      <c r="H37">
        <v>25087000</v>
      </c>
      <c r="I37" s="3">
        <f t="shared" si="0"/>
        <v>1.9183950036463449E-2</v>
      </c>
      <c r="J37" s="6">
        <v>0</v>
      </c>
      <c r="K37">
        <f t="shared" ca="1" si="1"/>
        <v>276.63143484932988</v>
      </c>
      <c r="L37">
        <f t="shared" ca="1" si="2"/>
        <v>1.3139711437342627E-2</v>
      </c>
    </row>
    <row r="38" spans="1:12">
      <c r="A38" t="s">
        <v>13</v>
      </c>
      <c r="B38" s="1">
        <v>45015</v>
      </c>
      <c r="C38">
        <v>284.23001098632801</v>
      </c>
      <c r="D38">
        <v>284.45999145507801</v>
      </c>
      <c r="E38">
        <v>281.48001098632801</v>
      </c>
      <c r="F38">
        <v>284.04998779296801</v>
      </c>
      <c r="G38">
        <v>284.04998779296801</v>
      </c>
      <c r="H38">
        <v>25053400</v>
      </c>
      <c r="I38" s="3">
        <f t="shared" si="0"/>
        <v>1.2619792178898637E-2</v>
      </c>
      <c r="J38" s="6">
        <v>0</v>
      </c>
      <c r="K38">
        <f t="shared" ca="1" si="1"/>
        <v>278.09857613699728</v>
      </c>
      <c r="L38">
        <f t="shared" ca="1" si="2"/>
        <v>1.3512092638463811E-2</v>
      </c>
    </row>
    <row r="39" spans="1:12">
      <c r="A39" t="s">
        <v>13</v>
      </c>
      <c r="B39" s="1">
        <v>45016</v>
      </c>
      <c r="C39">
        <v>283.73001098632801</v>
      </c>
      <c r="D39">
        <v>289.26998901367102</v>
      </c>
      <c r="E39">
        <v>283</v>
      </c>
      <c r="F39">
        <v>288.29998779296801</v>
      </c>
      <c r="G39">
        <v>288.29998779296801</v>
      </c>
      <c r="H39">
        <v>32766000</v>
      </c>
      <c r="I39" s="3">
        <f t="shared" si="0"/>
        <v>1.4962155193253057E-2</v>
      </c>
      <c r="J39" s="6">
        <v>0</v>
      </c>
      <c r="K39">
        <f t="shared" ca="1" si="1"/>
        <v>280.38571602957546</v>
      </c>
      <c r="L39">
        <f t="shared" ca="1" si="2"/>
        <v>1.2985848136526205E-2</v>
      </c>
    </row>
    <row r="40" spans="1:12">
      <c r="A40" t="s">
        <v>13</v>
      </c>
      <c r="B40" s="1">
        <v>45019</v>
      </c>
      <c r="C40">
        <v>286.51998901367102</v>
      </c>
      <c r="D40">
        <v>288.26998901367102</v>
      </c>
      <c r="E40">
        <v>283.95001220703102</v>
      </c>
      <c r="F40">
        <v>287.23001098632801</v>
      </c>
      <c r="G40">
        <v>287.23001098632801</v>
      </c>
      <c r="H40">
        <v>24883300</v>
      </c>
      <c r="I40" s="3">
        <f t="shared" si="0"/>
        <v>-3.7113314323424795E-3</v>
      </c>
      <c r="J40" s="6">
        <v>0</v>
      </c>
      <c r="K40">
        <f t="shared" ca="1" si="1"/>
        <v>281.75285993303532</v>
      </c>
      <c r="L40">
        <f t="shared" ca="1" si="2"/>
        <v>1.2554219781167103E-2</v>
      </c>
    </row>
    <row r="41" spans="1:12">
      <c r="A41" t="s">
        <v>13</v>
      </c>
      <c r="B41" s="1">
        <v>45020</v>
      </c>
      <c r="C41">
        <v>287.23001098632801</v>
      </c>
      <c r="D41">
        <v>290.45001220703102</v>
      </c>
      <c r="E41">
        <v>285.67001342773398</v>
      </c>
      <c r="F41">
        <v>287.17999267578102</v>
      </c>
      <c r="G41">
        <v>287.17999267578102</v>
      </c>
      <c r="H41">
        <v>25824300</v>
      </c>
      <c r="I41" s="3">
        <f t="shared" si="0"/>
        <v>-1.7414026610673705E-4</v>
      </c>
      <c r="J41" s="6">
        <v>0</v>
      </c>
      <c r="K41">
        <f t="shared" ca="1" si="1"/>
        <v>282.69714355468716</v>
      </c>
      <c r="L41">
        <f t="shared" ca="1" si="2"/>
        <v>1.2412800100947701E-2</v>
      </c>
    </row>
    <row r="42" spans="1:12">
      <c r="A42" t="s">
        <v>13</v>
      </c>
      <c r="B42" s="1">
        <v>45021</v>
      </c>
      <c r="C42">
        <v>285.850006103515</v>
      </c>
      <c r="D42">
        <v>287.14999389648398</v>
      </c>
      <c r="E42">
        <v>282.92001342773398</v>
      </c>
      <c r="F42">
        <v>284.33999633789</v>
      </c>
      <c r="G42">
        <v>284.33999633789</v>
      </c>
      <c r="H42">
        <v>22064800</v>
      </c>
      <c r="I42" s="3">
        <f t="shared" si="0"/>
        <v>-9.8892555551295391E-3</v>
      </c>
      <c r="J42" s="6">
        <v>0</v>
      </c>
      <c r="K42">
        <f t="shared" ca="1" si="1"/>
        <v>283.83428519112687</v>
      </c>
      <c r="L42">
        <f t="shared" ca="1" si="2"/>
        <v>1.1264424617797739E-2</v>
      </c>
    </row>
    <row r="43" spans="1:12">
      <c r="A43" t="s">
        <v>13</v>
      </c>
      <c r="B43" s="1">
        <v>45022</v>
      </c>
      <c r="C43">
        <v>283.20999145507801</v>
      </c>
      <c r="D43">
        <v>292.079986572265</v>
      </c>
      <c r="E43">
        <v>282.02999877929602</v>
      </c>
      <c r="F43">
        <v>291.600006103515</v>
      </c>
      <c r="G43">
        <v>291.600006103515</v>
      </c>
      <c r="H43">
        <v>29770300</v>
      </c>
      <c r="I43" s="3">
        <f t="shared" si="0"/>
        <v>2.5532847503443312E-2</v>
      </c>
      <c r="J43" s="6">
        <v>0</v>
      </c>
      <c r="K43">
        <f t="shared" ca="1" si="1"/>
        <v>286.17285592215359</v>
      </c>
      <c r="L43">
        <f t="shared" ca="1" si="2"/>
        <v>1.3072762950839881E-2</v>
      </c>
    </row>
    <row r="44" spans="1:12">
      <c r="A44" t="s">
        <v>13</v>
      </c>
      <c r="B44" s="1">
        <v>45026</v>
      </c>
      <c r="C44">
        <v>289.20999145507801</v>
      </c>
      <c r="D44">
        <v>289.600006103515</v>
      </c>
      <c r="E44">
        <v>284.70999145507801</v>
      </c>
      <c r="F44">
        <v>289.39001464843699</v>
      </c>
      <c r="G44">
        <v>289.39001464843699</v>
      </c>
      <c r="H44">
        <v>23103000</v>
      </c>
      <c r="I44" s="3">
        <f t="shared" si="0"/>
        <v>-7.5788457092607064E-3</v>
      </c>
      <c r="J44" s="6">
        <v>0</v>
      </c>
      <c r="K44">
        <f t="shared" ca="1" si="1"/>
        <v>287.44142804826959</v>
      </c>
      <c r="L44">
        <f t="shared" ca="1" si="2"/>
        <v>1.3291484633092912E-2</v>
      </c>
    </row>
    <row r="45" spans="1:12">
      <c r="A45" t="s">
        <v>13</v>
      </c>
      <c r="B45" s="1">
        <v>45027</v>
      </c>
      <c r="C45">
        <v>285.75</v>
      </c>
      <c r="D45">
        <v>285.98001098632801</v>
      </c>
      <c r="E45">
        <v>281.64001464843699</v>
      </c>
      <c r="F45">
        <v>282.829986572265</v>
      </c>
      <c r="G45">
        <v>282.829986572265</v>
      </c>
      <c r="H45">
        <v>27276600</v>
      </c>
      <c r="I45" s="3">
        <f t="shared" si="0"/>
        <v>-2.2668467272934034E-2</v>
      </c>
      <c r="J45" s="6">
        <v>0</v>
      </c>
      <c r="K45">
        <f t="shared" ca="1" si="1"/>
        <v>287.26714215959771</v>
      </c>
      <c r="L45">
        <f t="shared" ca="1" si="2"/>
        <v>1.610856521515729E-2</v>
      </c>
    </row>
    <row r="46" spans="1:12">
      <c r="A46" t="s">
        <v>13</v>
      </c>
      <c r="B46" s="1">
        <v>45028</v>
      </c>
      <c r="C46">
        <v>284.79000854492102</v>
      </c>
      <c r="D46">
        <v>287.010009765625</v>
      </c>
      <c r="E46">
        <v>281.95999145507801</v>
      </c>
      <c r="F46">
        <v>283.489990234375</v>
      </c>
      <c r="G46">
        <v>283.489990234375</v>
      </c>
      <c r="H46">
        <v>27403400</v>
      </c>
      <c r="I46" s="3">
        <f t="shared" si="0"/>
        <v>2.3335703194307111E-3</v>
      </c>
      <c r="J46" s="6">
        <v>0</v>
      </c>
      <c r="K46">
        <f t="shared" ca="1" si="1"/>
        <v>286.5799996512273</v>
      </c>
      <c r="L46">
        <f t="shared" ca="1" si="2"/>
        <v>1.4736494037185383E-2</v>
      </c>
    </row>
    <row r="47" spans="1:12">
      <c r="A47" t="s">
        <v>13</v>
      </c>
      <c r="B47" s="1">
        <v>45029</v>
      </c>
      <c r="C47">
        <v>283.58999633789</v>
      </c>
      <c r="D47">
        <v>289.89999389648398</v>
      </c>
      <c r="E47">
        <v>283.17001342773398</v>
      </c>
      <c r="F47">
        <v>289.83999633789</v>
      </c>
      <c r="G47">
        <v>289.83999633789</v>
      </c>
      <c r="H47">
        <v>24222700</v>
      </c>
      <c r="I47" s="3">
        <f t="shared" si="0"/>
        <v>2.2399401468337965E-2</v>
      </c>
      <c r="J47" s="6">
        <v>0</v>
      </c>
      <c r="K47">
        <f t="shared" ca="1" si="1"/>
        <v>286.95285470145041</v>
      </c>
      <c r="L47">
        <f t="shared" ca="1" si="2"/>
        <v>1.7388086452424751E-2</v>
      </c>
    </row>
    <row r="48" spans="1:12">
      <c r="A48" t="s">
        <v>13</v>
      </c>
      <c r="B48" s="1">
        <v>45030</v>
      </c>
      <c r="C48">
        <v>287</v>
      </c>
      <c r="D48">
        <v>288.48001098632801</v>
      </c>
      <c r="E48">
        <v>283.69000244140602</v>
      </c>
      <c r="F48">
        <v>286.14001464843699</v>
      </c>
      <c r="G48">
        <v>286.14001464843699</v>
      </c>
      <c r="H48">
        <v>20987900</v>
      </c>
      <c r="I48" s="3">
        <f t="shared" si="0"/>
        <v>-1.2765600801138755E-2</v>
      </c>
      <c r="J48" s="6">
        <v>0</v>
      </c>
      <c r="K48">
        <f t="shared" ca="1" si="1"/>
        <v>286.80428641182982</v>
      </c>
      <c r="L48">
        <f t="shared" ca="1" si="2"/>
        <v>1.82124883084307E-2</v>
      </c>
    </row>
    <row r="49" spans="1:12">
      <c r="A49" t="s">
        <v>13</v>
      </c>
      <c r="B49" s="1">
        <v>45033</v>
      </c>
      <c r="C49">
        <v>289.92999267578102</v>
      </c>
      <c r="D49">
        <v>291.600006103515</v>
      </c>
      <c r="E49">
        <v>286.16000366210898</v>
      </c>
      <c r="F49">
        <v>288.79998779296801</v>
      </c>
      <c r="G49">
        <v>288.79998779296801</v>
      </c>
      <c r="H49">
        <v>23836200</v>
      </c>
      <c r="I49" s="3">
        <f t="shared" si="0"/>
        <v>9.2960544081861496E-3</v>
      </c>
      <c r="J49" s="6">
        <v>0</v>
      </c>
      <c r="K49">
        <f t="shared" ca="1" si="1"/>
        <v>287.44142804826959</v>
      </c>
      <c r="L49">
        <f t="shared" ca="1" si="2"/>
        <v>1.7984514309805834E-2</v>
      </c>
    </row>
    <row r="50" spans="1:12">
      <c r="A50" t="s">
        <v>13</v>
      </c>
      <c r="B50" s="1">
        <v>45034</v>
      </c>
      <c r="C50">
        <v>291.57000732421801</v>
      </c>
      <c r="D50">
        <v>291.760009765625</v>
      </c>
      <c r="E50">
        <v>287.010009765625</v>
      </c>
      <c r="F50">
        <v>288.36999511718699</v>
      </c>
      <c r="G50">
        <v>288.36999511718699</v>
      </c>
      <c r="H50">
        <v>20161800</v>
      </c>
      <c r="I50" s="3">
        <f t="shared" si="0"/>
        <v>-1.4888943696537149E-3</v>
      </c>
      <c r="J50" s="6">
        <v>0</v>
      </c>
      <c r="K50">
        <f t="shared" ca="1" si="1"/>
        <v>286.9799979073656</v>
      </c>
      <c r="L50">
        <f t="shared" ca="1" si="2"/>
        <v>1.4800915475512294E-2</v>
      </c>
    </row>
    <row r="51" spans="1:12">
      <c r="A51" t="s">
        <v>13</v>
      </c>
      <c r="B51" s="1">
        <v>45035</v>
      </c>
      <c r="C51">
        <v>285.989990234375</v>
      </c>
      <c r="D51">
        <v>289.04998779296801</v>
      </c>
      <c r="E51">
        <v>284.54000854492102</v>
      </c>
      <c r="F51">
        <v>288.45001220703102</v>
      </c>
      <c r="G51">
        <v>288.45001220703102</v>
      </c>
      <c r="H51">
        <v>17150300</v>
      </c>
      <c r="I51" s="3">
        <f t="shared" si="0"/>
        <v>2.7748063667831779E-4</v>
      </c>
      <c r="J51" s="6">
        <v>0</v>
      </c>
      <c r="K51">
        <f t="shared" ca="1" si="1"/>
        <v>286.84571184430757</v>
      </c>
      <c r="L51">
        <f t="shared" ca="1" si="2"/>
        <v>1.4558681037233812E-2</v>
      </c>
    </row>
    <row r="52" spans="1:12">
      <c r="A52" t="s">
        <v>13</v>
      </c>
      <c r="B52" s="1">
        <v>45036</v>
      </c>
      <c r="C52">
        <v>285.25</v>
      </c>
      <c r="D52">
        <v>289.02999877929602</v>
      </c>
      <c r="E52">
        <v>285.079986572265</v>
      </c>
      <c r="F52">
        <v>286.10998535156199</v>
      </c>
      <c r="G52">
        <v>286.10998535156199</v>
      </c>
      <c r="H52">
        <v>23244400</v>
      </c>
      <c r="I52" s="3">
        <f t="shared" si="0"/>
        <v>-8.1124172523504567E-3</v>
      </c>
      <c r="J52" s="6">
        <v>0</v>
      </c>
      <c r="K52">
        <f t="shared" ca="1" si="1"/>
        <v>287.31428309849287</v>
      </c>
      <c r="L52">
        <f t="shared" ca="1" si="2"/>
        <v>1.1577969011745079E-2</v>
      </c>
    </row>
    <row r="53" spans="1:12">
      <c r="A53" t="s">
        <v>13</v>
      </c>
      <c r="B53" s="1">
        <v>45037</v>
      </c>
      <c r="C53">
        <v>285.010009765625</v>
      </c>
      <c r="D53">
        <v>286.26998901367102</v>
      </c>
      <c r="E53">
        <v>283.05999755859301</v>
      </c>
      <c r="F53">
        <v>285.760009765625</v>
      </c>
      <c r="G53">
        <v>285.760009765625</v>
      </c>
      <c r="H53">
        <v>21676400</v>
      </c>
      <c r="I53" s="3">
        <f t="shared" si="0"/>
        <v>-1.2232204531658075E-3</v>
      </c>
      <c r="J53" s="6">
        <v>0</v>
      </c>
      <c r="K53">
        <f t="shared" ca="1" si="1"/>
        <v>287.63857160295714</v>
      </c>
      <c r="L53">
        <f t="shared" ca="1" si="2"/>
        <v>1.1623775852688287E-2</v>
      </c>
    </row>
    <row r="54" spans="1:12">
      <c r="A54" t="s">
        <v>13</v>
      </c>
      <c r="B54" s="1">
        <v>45040</v>
      </c>
      <c r="C54">
        <v>282.08999633789</v>
      </c>
      <c r="D54">
        <v>284.95001220703102</v>
      </c>
      <c r="E54">
        <v>278.72000122070301</v>
      </c>
      <c r="F54">
        <v>281.76998901367102</v>
      </c>
      <c r="G54">
        <v>281.76998901367102</v>
      </c>
      <c r="H54">
        <v>26611000</v>
      </c>
      <c r="I54" s="3">
        <f t="shared" si="0"/>
        <v>-1.3962838100497366E-2</v>
      </c>
      <c r="J54" s="6">
        <v>0</v>
      </c>
      <c r="K54">
        <f t="shared" ca="1" si="1"/>
        <v>286.485713413783</v>
      </c>
      <c r="L54">
        <f t="shared" ca="1" si="2"/>
        <v>8.1864102351457795E-3</v>
      </c>
    </row>
    <row r="55" spans="1:12">
      <c r="A55" t="s">
        <v>13</v>
      </c>
      <c r="B55" s="1">
        <v>45041</v>
      </c>
      <c r="C55">
        <v>279.510009765625</v>
      </c>
      <c r="D55">
        <v>281.600006103515</v>
      </c>
      <c r="E55">
        <v>275.36999511718699</v>
      </c>
      <c r="F55">
        <v>275.42001342773398</v>
      </c>
      <c r="G55">
        <v>275.42001342773398</v>
      </c>
      <c r="H55">
        <v>45772200</v>
      </c>
      <c r="I55" s="3">
        <f t="shared" si="0"/>
        <v>-2.2536025245857405E-2</v>
      </c>
      <c r="J55" s="6">
        <v>0</v>
      </c>
      <c r="K55">
        <f t="shared" ca="1" si="1"/>
        <v>284.95428466796824</v>
      </c>
      <c r="L55">
        <f t="shared" ca="1" si="2"/>
        <v>1.0450458059780461E-2</v>
      </c>
    </row>
    <row r="56" spans="1:12">
      <c r="A56" t="s">
        <v>13</v>
      </c>
      <c r="B56" s="1">
        <v>45042</v>
      </c>
      <c r="C56">
        <v>296.70001220703102</v>
      </c>
      <c r="D56">
        <v>299.57000732421801</v>
      </c>
      <c r="E56">
        <v>292.73001098632801</v>
      </c>
      <c r="F56">
        <v>295.36999511718699</v>
      </c>
      <c r="G56">
        <v>295.36999511718699</v>
      </c>
      <c r="H56">
        <v>64599200</v>
      </c>
      <c r="I56" s="3">
        <f t="shared" si="0"/>
        <v>7.2434756796232458E-2</v>
      </c>
      <c r="J56" s="6">
        <v>0</v>
      </c>
      <c r="K56">
        <f t="shared" ca="1" si="1"/>
        <v>285.89285714285671</v>
      </c>
      <c r="L56">
        <f t="shared" ca="1" si="2"/>
        <v>3.1430197530344393E-2</v>
      </c>
    </row>
    <row r="57" spans="1:12">
      <c r="A57" t="s">
        <v>13</v>
      </c>
      <c r="B57" s="1">
        <v>45043</v>
      </c>
      <c r="C57">
        <v>295.97000122070301</v>
      </c>
      <c r="D57">
        <v>305.20001220703102</v>
      </c>
      <c r="E57">
        <v>295.25</v>
      </c>
      <c r="F57">
        <v>304.829986572265</v>
      </c>
      <c r="G57">
        <v>304.829986572265</v>
      </c>
      <c r="H57">
        <v>46462600</v>
      </c>
      <c r="I57" s="3">
        <f t="shared" si="0"/>
        <v>3.2027597966830745E-2</v>
      </c>
      <c r="J57" s="6">
        <v>0</v>
      </c>
      <c r="K57">
        <f t="shared" ca="1" si="1"/>
        <v>288.24428449358214</v>
      </c>
      <c r="L57">
        <f t="shared" ca="1" si="2"/>
        <v>3.3033033165613901E-2</v>
      </c>
    </row>
    <row r="58" spans="1:12">
      <c r="A58" t="s">
        <v>13</v>
      </c>
      <c r="B58" s="1">
        <v>45044</v>
      </c>
      <c r="C58">
        <v>304.010009765625</v>
      </c>
      <c r="D58">
        <v>308.92999267578102</v>
      </c>
      <c r="E58">
        <v>303.30999755859301</v>
      </c>
      <c r="F58">
        <v>307.260009765625</v>
      </c>
      <c r="G58">
        <v>307.260009765625</v>
      </c>
      <c r="H58">
        <v>36446700</v>
      </c>
      <c r="I58" s="3">
        <f t="shared" si="0"/>
        <v>7.9717327704043051E-3</v>
      </c>
      <c r="J58" s="6">
        <v>0</v>
      </c>
      <c r="K58">
        <f t="shared" ca="1" si="1"/>
        <v>290.93142700195273</v>
      </c>
      <c r="L58">
        <f t="shared" ca="1" si="2"/>
        <v>3.2844600902689078E-2</v>
      </c>
    </row>
    <row r="59" spans="1:12">
      <c r="A59" t="s">
        <v>13</v>
      </c>
      <c r="B59" s="1">
        <v>45047</v>
      </c>
      <c r="C59">
        <v>306.97000122070301</v>
      </c>
      <c r="D59">
        <v>308.600006103515</v>
      </c>
      <c r="E59">
        <v>305.14999389648398</v>
      </c>
      <c r="F59">
        <v>305.55999755859301</v>
      </c>
      <c r="G59">
        <v>305.55999755859301</v>
      </c>
      <c r="H59">
        <v>21294100</v>
      </c>
      <c r="I59" s="3">
        <f t="shared" si="0"/>
        <v>-5.5328130996570302E-3</v>
      </c>
      <c r="J59" s="6">
        <v>0</v>
      </c>
      <c r="K59">
        <f t="shared" ca="1" si="1"/>
        <v>293.7100001743857</v>
      </c>
      <c r="L59">
        <f t="shared" ca="1" si="2"/>
        <v>3.2627623925766146E-2</v>
      </c>
    </row>
    <row r="60" spans="1:12">
      <c r="A60" t="s">
        <v>13</v>
      </c>
      <c r="B60" s="1">
        <v>45048</v>
      </c>
      <c r="C60">
        <v>307.760009765625</v>
      </c>
      <c r="D60">
        <v>309.17999267578102</v>
      </c>
      <c r="E60">
        <v>303.91000366210898</v>
      </c>
      <c r="F60">
        <v>305.41000366210898</v>
      </c>
      <c r="G60">
        <v>305.41000366210898</v>
      </c>
      <c r="H60">
        <v>26404400</v>
      </c>
      <c r="I60" s="3">
        <f t="shared" si="0"/>
        <v>-4.9088197958657709E-4</v>
      </c>
      <c r="J60" s="6">
        <v>0</v>
      </c>
      <c r="K60">
        <f t="shared" ca="1" si="1"/>
        <v>296.51714215959771</v>
      </c>
      <c r="L60">
        <f t="shared" ca="1" si="2"/>
        <v>3.2587226828720582E-2</v>
      </c>
    </row>
    <row r="61" spans="1:12">
      <c r="A61" t="s">
        <v>13</v>
      </c>
      <c r="B61" s="1">
        <v>45049</v>
      </c>
      <c r="C61">
        <v>306.61999511718699</v>
      </c>
      <c r="D61">
        <v>308.60998535156199</v>
      </c>
      <c r="E61">
        <v>304.08999633789</v>
      </c>
      <c r="F61">
        <v>304.39999389648398</v>
      </c>
      <c r="G61">
        <v>304.39999389648398</v>
      </c>
      <c r="H61">
        <v>22360800</v>
      </c>
      <c r="I61" s="3">
        <f t="shared" si="0"/>
        <v>-3.3070618300454768E-3</v>
      </c>
      <c r="J61" s="6">
        <v>0</v>
      </c>
      <c r="K61">
        <f t="shared" ca="1" si="1"/>
        <v>299.74999999999955</v>
      </c>
      <c r="L61">
        <f t="shared" ca="1" si="2"/>
        <v>3.1513153216591101E-2</v>
      </c>
    </row>
    <row r="62" spans="1:12">
      <c r="A62" t="s">
        <v>13</v>
      </c>
      <c r="B62" s="1">
        <v>45050</v>
      </c>
      <c r="C62">
        <v>306.239990234375</v>
      </c>
      <c r="D62">
        <v>307.760009765625</v>
      </c>
      <c r="E62">
        <v>303.39999389648398</v>
      </c>
      <c r="F62">
        <v>305.41000366210898</v>
      </c>
      <c r="G62">
        <v>305.41000366210898</v>
      </c>
      <c r="H62">
        <v>22519900</v>
      </c>
      <c r="I62" s="3">
        <f t="shared" si="0"/>
        <v>3.3180347762045148E-3</v>
      </c>
      <c r="J62" s="6">
        <v>0</v>
      </c>
      <c r="K62">
        <f t="shared" ca="1" si="1"/>
        <v>304.03428431919599</v>
      </c>
      <c r="L62">
        <f t="shared" ca="1" si="2"/>
        <v>2.819863759200484E-2</v>
      </c>
    </row>
    <row r="63" spans="1:12">
      <c r="A63" t="s">
        <v>13</v>
      </c>
      <c r="B63" s="1">
        <v>45051</v>
      </c>
      <c r="C63">
        <v>305.72000122070301</v>
      </c>
      <c r="D63">
        <v>311.97000122070301</v>
      </c>
      <c r="E63">
        <v>304.26998901367102</v>
      </c>
      <c r="F63">
        <v>310.64999389648398</v>
      </c>
      <c r="G63">
        <v>310.64999389648398</v>
      </c>
      <c r="H63">
        <v>28181200</v>
      </c>
      <c r="I63" s="3">
        <f t="shared" si="0"/>
        <v>1.7157231824574737E-2</v>
      </c>
      <c r="J63" s="6">
        <v>0</v>
      </c>
      <c r="K63">
        <f t="shared" ca="1" si="1"/>
        <v>306.21714128766695</v>
      </c>
      <c r="L63">
        <f t="shared" ca="1" si="2"/>
        <v>1.330923747239068E-2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3"/>
  <sheetViews>
    <sheetView topLeftCell="F48" workbookViewId="0">
      <selection activeCell="U1" sqref="U1:U5"/>
    </sheetView>
  </sheetViews>
  <sheetFormatPr defaultRowHeight="15"/>
  <cols>
    <col min="1" max="1" width="11.7109375" customWidth="1"/>
    <col min="2" max="8" width="13.7109375" customWidth="1"/>
    <col min="9" max="10" width="15.7109375" customWidth="1"/>
    <col min="11" max="11" width="16.140625" customWidth="1"/>
    <col min="12" max="12" width="14.5703125" customWidth="1"/>
    <col min="21" max="21" width="15.28515625" bestFit="1" customWidth="1"/>
    <col min="22" max="22" width="16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15</v>
      </c>
      <c r="K1" s="2" t="s">
        <v>9</v>
      </c>
      <c r="L1" s="2" t="s">
        <v>10</v>
      </c>
      <c r="U1" t="s">
        <v>16</v>
      </c>
      <c r="V1" s="4">
        <f>AVERAGE(I2:I63)</f>
        <v>-1.6763957898093052E-3</v>
      </c>
    </row>
    <row r="2" spans="1:22">
      <c r="A2" t="s">
        <v>14</v>
      </c>
      <c r="B2" s="1">
        <v>44964</v>
      </c>
      <c r="C2">
        <v>358.510009765625</v>
      </c>
      <c r="D2">
        <v>364.17999267578102</v>
      </c>
      <c r="E2">
        <v>354.17999267578102</v>
      </c>
      <c r="F2">
        <v>362.95001220703102</v>
      </c>
      <c r="G2">
        <v>362.95001220703102</v>
      </c>
      <c r="H2">
        <v>6289400</v>
      </c>
      <c r="I2" s="3"/>
      <c r="J2" s="6">
        <v>0</v>
      </c>
      <c r="U2" t="s">
        <v>17</v>
      </c>
      <c r="V2" s="5">
        <f ca="1">AVERAGEIF(L2:L63,"&lt;&gt;")</f>
        <v>2.1235413126833531E-2</v>
      </c>
    </row>
    <row r="3" spans="1:22">
      <c r="A3" t="s">
        <v>14</v>
      </c>
      <c r="B3" s="1">
        <v>44965</v>
      </c>
      <c r="C3">
        <v>360.01998901367102</v>
      </c>
      <c r="D3">
        <v>368.19000244140602</v>
      </c>
      <c r="E3">
        <v>358.30999755859301</v>
      </c>
      <c r="F3">
        <v>366.829986572265</v>
      </c>
      <c r="G3">
        <v>366.829986572265</v>
      </c>
      <c r="H3">
        <v>6253200</v>
      </c>
      <c r="I3" s="3">
        <f>(G3/G2)-1</f>
        <v>1.0690106721971349E-2</v>
      </c>
      <c r="J3" s="6">
        <v>0</v>
      </c>
      <c r="U3" t="s">
        <v>18</v>
      </c>
      <c r="V3" s="4">
        <f>MAX(I2:I63)</f>
        <v>9.0064653863266564E-2</v>
      </c>
    </row>
    <row r="4" spans="1:22">
      <c r="A4" t="s">
        <v>14</v>
      </c>
      <c r="B4" s="1">
        <v>44966</v>
      </c>
      <c r="C4">
        <v>372.41000366210898</v>
      </c>
      <c r="D4">
        <v>373.829986572265</v>
      </c>
      <c r="E4">
        <v>361.739990234375</v>
      </c>
      <c r="F4">
        <v>362.5</v>
      </c>
      <c r="G4">
        <v>362.5</v>
      </c>
      <c r="H4">
        <v>6901100</v>
      </c>
      <c r="I4" s="3">
        <f t="shared" ref="I4:I63" si="0">(G4/G3)-1</f>
        <v>-1.1803796665385224E-2</v>
      </c>
      <c r="J4" s="6">
        <v>0</v>
      </c>
      <c r="U4" t="s">
        <v>19</v>
      </c>
      <c r="V4" s="4">
        <f>MIN(I2:I63)</f>
        <v>-4.493412034275146E-2</v>
      </c>
    </row>
    <row r="5" spans="1:22">
      <c r="A5" t="s">
        <v>14</v>
      </c>
      <c r="B5" s="1">
        <v>44967</v>
      </c>
      <c r="C5">
        <v>359.16000366210898</v>
      </c>
      <c r="D5">
        <v>362.14001464843699</v>
      </c>
      <c r="E5">
        <v>347.14001464843699</v>
      </c>
      <c r="F5">
        <v>347.35998535156199</v>
      </c>
      <c r="G5">
        <v>347.35998535156199</v>
      </c>
      <c r="H5">
        <v>7291100</v>
      </c>
      <c r="I5" s="3">
        <f t="shared" si="0"/>
        <v>-4.1765557650863427E-2</v>
      </c>
      <c r="J5" s="6">
        <v>0</v>
      </c>
      <c r="U5" t="s">
        <v>20</v>
      </c>
      <c r="V5" s="4" cm="1">
        <f t="array" aca="1" ref="V5" ca="1">INDEX(L2:L63,COUNTA(L2:L63))</f>
        <v>1.6697897914392031E-2</v>
      </c>
    </row>
    <row r="6" spans="1:22">
      <c r="A6" t="s">
        <v>14</v>
      </c>
      <c r="B6" s="1">
        <v>44970</v>
      </c>
      <c r="C6">
        <v>349.5</v>
      </c>
      <c r="D6">
        <v>359.70001220703102</v>
      </c>
      <c r="E6">
        <v>344.25</v>
      </c>
      <c r="F6">
        <v>358.57000732421801</v>
      </c>
      <c r="G6">
        <v>358.57000732421801</v>
      </c>
      <c r="H6">
        <v>7134400</v>
      </c>
      <c r="I6" s="3">
        <f t="shared" si="0"/>
        <v>3.2272059089680116E-2</v>
      </c>
      <c r="J6" s="6">
        <v>0</v>
      </c>
    </row>
    <row r="7" spans="1:22">
      <c r="A7" t="s">
        <v>14</v>
      </c>
      <c r="B7" s="1">
        <v>44971</v>
      </c>
      <c r="C7">
        <v>357.54998779296801</v>
      </c>
      <c r="D7">
        <v>363.75</v>
      </c>
      <c r="E7">
        <v>353.39999389648398</v>
      </c>
      <c r="F7">
        <v>359.95999145507801</v>
      </c>
      <c r="G7">
        <v>359.95999145507801</v>
      </c>
      <c r="H7">
        <v>4624800</v>
      </c>
      <c r="I7" s="3">
        <f t="shared" si="0"/>
        <v>3.8764651322418242E-3</v>
      </c>
      <c r="J7" s="6">
        <v>0</v>
      </c>
    </row>
    <row r="8" spans="1:22">
      <c r="A8" t="s">
        <v>14</v>
      </c>
      <c r="B8" s="1">
        <v>44972</v>
      </c>
      <c r="C8">
        <v>356.63000488281199</v>
      </c>
      <c r="D8">
        <v>362.88000488281199</v>
      </c>
      <c r="E8">
        <v>354.239990234375</v>
      </c>
      <c r="F8">
        <v>361.42001342773398</v>
      </c>
      <c r="G8">
        <v>361.42001342773398</v>
      </c>
      <c r="H8">
        <v>3966000</v>
      </c>
      <c r="I8" s="3">
        <f t="shared" si="0"/>
        <v>4.0560673611367282E-3</v>
      </c>
      <c r="J8" s="6">
        <v>0</v>
      </c>
      <c r="K8">
        <f ca="1">AVERAGE(OFFSET(G8,-6,0,7,1))</f>
        <v>359.9414280482697</v>
      </c>
      <c r="L8">
        <f ca="1">STDEV(OFFSET(I8,-6,0,7,1))</f>
        <v>2.477798203291303E-2</v>
      </c>
    </row>
    <row r="9" spans="1:22">
      <c r="A9" t="s">
        <v>14</v>
      </c>
      <c r="B9" s="1">
        <v>44973</v>
      </c>
      <c r="C9">
        <v>355</v>
      </c>
      <c r="D9">
        <v>361.5</v>
      </c>
      <c r="E9">
        <v>350.30999755859301</v>
      </c>
      <c r="F9">
        <v>350.70999145507801</v>
      </c>
      <c r="G9">
        <v>350.70999145507801</v>
      </c>
      <c r="H9">
        <v>5215700</v>
      </c>
      <c r="I9" s="3">
        <f t="shared" si="0"/>
        <v>-2.9633173523185175E-2</v>
      </c>
      <c r="J9" s="6">
        <v>0</v>
      </c>
      <c r="K9">
        <f t="shared" ref="K9:K63" ca="1" si="1">AVERAGE(OFFSET(G9,-6,0,7,1))</f>
        <v>358.1928536551336</v>
      </c>
      <c r="L9">
        <f t="shared" ref="L9:L63" ca="1" si="2">STDEV(OFFSET(I9,-6,0,7,1))</f>
        <v>2.5165934468009087E-2</v>
      </c>
    </row>
    <row r="10" spans="1:22">
      <c r="A10" t="s">
        <v>14</v>
      </c>
      <c r="B10" s="1">
        <v>44974</v>
      </c>
      <c r="C10">
        <v>347.91000366210898</v>
      </c>
      <c r="D10">
        <v>349</v>
      </c>
      <c r="E10">
        <v>342.44000244140602</v>
      </c>
      <c r="F10">
        <v>347.95999145507801</v>
      </c>
      <c r="G10">
        <v>347.95999145507801</v>
      </c>
      <c r="H10">
        <v>5294700</v>
      </c>
      <c r="I10" s="3">
        <f t="shared" si="0"/>
        <v>-7.8412365401692163E-3</v>
      </c>
      <c r="J10" s="6">
        <v>0</v>
      </c>
      <c r="K10">
        <f t="shared" ca="1" si="1"/>
        <v>355.49714006696405</v>
      </c>
      <c r="L10">
        <f t="shared" ca="1" si="2"/>
        <v>2.4245392022221653E-2</v>
      </c>
    </row>
    <row r="11" spans="1:22">
      <c r="A11" t="s">
        <v>14</v>
      </c>
      <c r="B11" s="1">
        <v>44978</v>
      </c>
      <c r="C11">
        <v>342.850006103515</v>
      </c>
      <c r="D11">
        <v>344.13000488281199</v>
      </c>
      <c r="E11">
        <v>336.42001342773398</v>
      </c>
      <c r="F11">
        <v>337.5</v>
      </c>
      <c r="G11">
        <v>337.5</v>
      </c>
      <c r="H11">
        <v>5710300</v>
      </c>
      <c r="I11" s="3">
        <f t="shared" si="0"/>
        <v>-3.0060902724296179E-2</v>
      </c>
      <c r="J11" s="6">
        <v>0</v>
      </c>
      <c r="K11">
        <f t="shared" ca="1" si="1"/>
        <v>351.92571149553544</v>
      </c>
      <c r="L11">
        <f t="shared" ca="1" si="2"/>
        <v>2.5750572336778459E-2</v>
      </c>
      <c r="U11" s="7"/>
    </row>
    <row r="12" spans="1:22">
      <c r="A12" t="s">
        <v>14</v>
      </c>
      <c r="B12" s="1">
        <v>44979</v>
      </c>
      <c r="C12">
        <v>337.5</v>
      </c>
      <c r="D12">
        <v>341.91000366210898</v>
      </c>
      <c r="E12">
        <v>332.82000732421801</v>
      </c>
      <c r="F12">
        <v>334.88000488281199</v>
      </c>
      <c r="G12">
        <v>334.88000488281199</v>
      </c>
      <c r="H12">
        <v>4546200</v>
      </c>
      <c r="I12" s="3">
        <f t="shared" si="0"/>
        <v>-7.7629484953718464E-3</v>
      </c>
      <c r="J12" s="6">
        <v>0</v>
      </c>
      <c r="K12">
        <f t="shared" ca="1" si="1"/>
        <v>350.14285714285688</v>
      </c>
      <c r="L12">
        <f t="shared" ca="1" si="2"/>
        <v>2.1604620328735356E-2</v>
      </c>
    </row>
    <row r="13" spans="1:22">
      <c r="A13" t="s">
        <v>14</v>
      </c>
      <c r="B13" s="1">
        <v>44980</v>
      </c>
      <c r="C13">
        <v>331.23001098632801</v>
      </c>
      <c r="D13">
        <v>331.27999877929602</v>
      </c>
      <c r="E13">
        <v>314.29998779296801</v>
      </c>
      <c r="F13">
        <v>323.64999389648398</v>
      </c>
      <c r="G13">
        <v>323.64999389648398</v>
      </c>
      <c r="H13">
        <v>13238700</v>
      </c>
      <c r="I13" s="3">
        <f t="shared" si="0"/>
        <v>-3.3534432700028871E-2</v>
      </c>
      <c r="J13" s="6">
        <v>0</v>
      </c>
      <c r="K13">
        <f t="shared" ca="1" si="1"/>
        <v>345.15428379603776</v>
      </c>
      <c r="L13">
        <f t="shared" ca="1" si="2"/>
        <v>1.6356252434752552E-2</v>
      </c>
    </row>
    <row r="14" spans="1:22">
      <c r="A14" t="s">
        <v>14</v>
      </c>
      <c r="B14" s="1">
        <v>44981</v>
      </c>
      <c r="C14">
        <v>319.29998779296801</v>
      </c>
      <c r="D14">
        <v>321.5</v>
      </c>
      <c r="E14">
        <v>314.51998901367102</v>
      </c>
      <c r="F14">
        <v>317.14999389648398</v>
      </c>
      <c r="G14">
        <v>317.14999389648398</v>
      </c>
      <c r="H14">
        <v>6830700</v>
      </c>
      <c r="I14" s="3">
        <f t="shared" si="0"/>
        <v>-2.0083423829999947E-2</v>
      </c>
      <c r="J14" s="6">
        <v>0</v>
      </c>
      <c r="K14">
        <f t="shared" ca="1" si="1"/>
        <v>339.03856985909573</v>
      </c>
      <c r="L14">
        <f t="shared" ca="1" si="2"/>
        <v>1.4263809216466345E-2</v>
      </c>
    </row>
    <row r="15" spans="1:22">
      <c r="A15" t="s">
        <v>14</v>
      </c>
      <c r="B15" s="1">
        <v>44984</v>
      </c>
      <c r="C15">
        <v>323.86999511718699</v>
      </c>
      <c r="D15">
        <v>330</v>
      </c>
      <c r="E15">
        <v>322.11999511718699</v>
      </c>
      <c r="F15">
        <v>323.02999877929602</v>
      </c>
      <c r="G15">
        <v>323.02999877929602</v>
      </c>
      <c r="H15">
        <v>6142600</v>
      </c>
      <c r="I15" s="3">
        <f t="shared" si="0"/>
        <v>1.8540138722913602E-2</v>
      </c>
      <c r="J15" s="6">
        <v>0</v>
      </c>
      <c r="K15">
        <f t="shared" ca="1" si="1"/>
        <v>333.55428205217601</v>
      </c>
      <c r="L15">
        <f t="shared" ca="1" si="2"/>
        <v>1.8415400846401607E-2</v>
      </c>
    </row>
    <row r="16" spans="1:22">
      <c r="A16" t="s">
        <v>14</v>
      </c>
      <c r="B16" s="1">
        <v>44985</v>
      </c>
      <c r="C16">
        <v>323.70001220703102</v>
      </c>
      <c r="D16">
        <v>327.61999511718699</v>
      </c>
      <c r="E16">
        <v>321.17001342773398</v>
      </c>
      <c r="F16">
        <v>322.13000488281199</v>
      </c>
      <c r="G16">
        <v>322.13000488281199</v>
      </c>
      <c r="H16">
        <v>3676100</v>
      </c>
      <c r="I16" s="3">
        <f t="shared" si="0"/>
        <v>-2.7861000522707569E-3</v>
      </c>
      <c r="J16" s="6">
        <v>0</v>
      </c>
      <c r="K16">
        <f t="shared" ca="1" si="1"/>
        <v>329.47142682756652</v>
      </c>
      <c r="L16">
        <f t="shared" ca="1" si="2"/>
        <v>1.7832937596386E-2</v>
      </c>
    </row>
    <row r="17" spans="1:12">
      <c r="A17" t="s">
        <v>14</v>
      </c>
      <c r="B17" s="1">
        <v>44986</v>
      </c>
      <c r="C17">
        <v>321.54998779296801</v>
      </c>
      <c r="D17">
        <v>326.600006103515</v>
      </c>
      <c r="E17">
        <v>312.35998535156199</v>
      </c>
      <c r="F17">
        <v>313.48001098632801</v>
      </c>
      <c r="G17">
        <v>313.48001098632801</v>
      </c>
      <c r="H17">
        <v>4911300</v>
      </c>
      <c r="I17" s="3">
        <f t="shared" si="0"/>
        <v>-2.685249360620956E-2</v>
      </c>
      <c r="J17" s="6">
        <v>0</v>
      </c>
      <c r="K17">
        <f t="shared" ca="1" si="1"/>
        <v>324.54571533203085</v>
      </c>
      <c r="L17">
        <f t="shared" ca="1" si="2"/>
        <v>1.8539640237988868E-2</v>
      </c>
    </row>
    <row r="18" spans="1:12">
      <c r="A18" t="s">
        <v>14</v>
      </c>
      <c r="B18" s="1">
        <v>44987</v>
      </c>
      <c r="C18">
        <v>310.95999145507801</v>
      </c>
      <c r="D18">
        <v>315.57000732421801</v>
      </c>
      <c r="E18">
        <v>310.38000488281199</v>
      </c>
      <c r="F18">
        <v>311.88000488281199</v>
      </c>
      <c r="G18">
        <v>311.88000488281199</v>
      </c>
      <c r="H18">
        <v>4911000</v>
      </c>
      <c r="I18" s="3">
        <f t="shared" si="0"/>
        <v>-5.1040131665230914E-3</v>
      </c>
      <c r="J18" s="6">
        <v>0</v>
      </c>
      <c r="K18">
        <f t="shared" ca="1" si="1"/>
        <v>320.88571602957546</v>
      </c>
      <c r="L18">
        <f t="shared" ca="1" si="2"/>
        <v>1.7449409299216831E-2</v>
      </c>
    </row>
    <row r="19" spans="1:12">
      <c r="A19" t="s">
        <v>14</v>
      </c>
      <c r="B19" s="1">
        <v>44988</v>
      </c>
      <c r="C19">
        <v>315.45001220703102</v>
      </c>
      <c r="D19">
        <v>317.489990234375</v>
      </c>
      <c r="E19">
        <v>310.82000732421801</v>
      </c>
      <c r="F19">
        <v>315.17999267578102</v>
      </c>
      <c r="G19">
        <v>315.17999267578102</v>
      </c>
      <c r="H19">
        <v>5953300</v>
      </c>
      <c r="I19" s="3">
        <f t="shared" si="0"/>
        <v>1.0580953383686698E-2</v>
      </c>
      <c r="J19" s="6">
        <v>0</v>
      </c>
      <c r="K19">
        <f t="shared" ca="1" si="1"/>
        <v>318.07142857142816</v>
      </c>
      <c r="L19">
        <f t="shared" ca="1" si="2"/>
        <v>1.9309480008826846E-2</v>
      </c>
    </row>
    <row r="20" spans="1:12">
      <c r="A20" t="s">
        <v>14</v>
      </c>
      <c r="B20" s="1">
        <v>44991</v>
      </c>
      <c r="C20">
        <v>317</v>
      </c>
      <c r="D20">
        <v>323.29998779296801</v>
      </c>
      <c r="E20">
        <v>311.83999633789</v>
      </c>
      <c r="F20">
        <v>312.02999877929602</v>
      </c>
      <c r="G20">
        <v>312.02999877929602</v>
      </c>
      <c r="H20">
        <v>5660700</v>
      </c>
      <c r="I20" s="3">
        <f t="shared" si="0"/>
        <v>-9.9942698448036715E-3</v>
      </c>
      <c r="J20" s="6">
        <v>0</v>
      </c>
      <c r="K20">
        <f t="shared" ca="1" si="1"/>
        <v>316.41142926897277</v>
      </c>
      <c r="L20">
        <f t="shared" ca="1" si="2"/>
        <v>1.5977747295928973E-2</v>
      </c>
    </row>
    <row r="21" spans="1:12">
      <c r="A21" t="s">
        <v>14</v>
      </c>
      <c r="B21" s="1">
        <v>44992</v>
      </c>
      <c r="C21">
        <v>312.67999267578102</v>
      </c>
      <c r="D21">
        <v>314.29998779296801</v>
      </c>
      <c r="E21">
        <v>306.61999511718699</v>
      </c>
      <c r="F21">
        <v>308.47000122070301</v>
      </c>
      <c r="G21">
        <v>308.47000122070301</v>
      </c>
      <c r="H21">
        <v>4553100</v>
      </c>
      <c r="I21" s="3">
        <f t="shared" si="0"/>
        <v>-1.1409151596065148E-2</v>
      </c>
      <c r="J21" s="6">
        <v>0</v>
      </c>
      <c r="K21">
        <f t="shared" ca="1" si="1"/>
        <v>315.17143031528974</v>
      </c>
      <c r="L21">
        <f t="shared" ca="1" si="2"/>
        <v>1.4923593704778458E-2</v>
      </c>
    </row>
    <row r="22" spans="1:12">
      <c r="A22" t="s">
        <v>14</v>
      </c>
      <c r="B22" s="1">
        <v>44993</v>
      </c>
      <c r="C22">
        <v>309.29000854492102</v>
      </c>
      <c r="D22">
        <v>311.829986572265</v>
      </c>
      <c r="E22">
        <v>305.75</v>
      </c>
      <c r="F22">
        <v>311.79000854492102</v>
      </c>
      <c r="G22">
        <v>311.79000854492102</v>
      </c>
      <c r="H22">
        <v>3479500</v>
      </c>
      <c r="I22" s="3">
        <f t="shared" si="0"/>
        <v>1.0762820731610168E-2</v>
      </c>
      <c r="J22" s="6">
        <v>0</v>
      </c>
      <c r="K22">
        <f t="shared" ca="1" si="1"/>
        <v>313.56571742466474</v>
      </c>
      <c r="L22">
        <f t="shared" ca="1" si="2"/>
        <v>1.3163653517351971E-2</v>
      </c>
    </row>
    <row r="23" spans="1:12">
      <c r="A23" t="s">
        <v>14</v>
      </c>
      <c r="B23" s="1">
        <v>44994</v>
      </c>
      <c r="C23">
        <v>312.079986572265</v>
      </c>
      <c r="D23">
        <v>312.510009765625</v>
      </c>
      <c r="E23">
        <v>294.88000488281199</v>
      </c>
      <c r="F23">
        <v>297.77999877929602</v>
      </c>
      <c r="G23">
        <v>297.77999877929602</v>
      </c>
      <c r="H23">
        <v>7443400</v>
      </c>
      <c r="I23" s="3">
        <f t="shared" si="0"/>
        <v>-4.493412034275146E-2</v>
      </c>
      <c r="J23" s="6">
        <v>0</v>
      </c>
      <c r="K23">
        <f t="shared" ca="1" si="1"/>
        <v>310.08714512416242</v>
      </c>
      <c r="L23">
        <f t="shared" ca="1" si="2"/>
        <v>1.9908646353604963E-2</v>
      </c>
    </row>
    <row r="24" spans="1:12">
      <c r="A24" t="s">
        <v>14</v>
      </c>
      <c r="B24" s="1">
        <v>44995</v>
      </c>
      <c r="C24">
        <v>297.89999389648398</v>
      </c>
      <c r="D24">
        <v>298.79000854492102</v>
      </c>
      <c r="E24">
        <v>289</v>
      </c>
      <c r="F24">
        <v>292.760009765625</v>
      </c>
      <c r="G24">
        <v>292.760009765625</v>
      </c>
      <c r="H24">
        <v>5759300</v>
      </c>
      <c r="I24" s="3">
        <f t="shared" si="0"/>
        <v>-1.6858046323627196E-2</v>
      </c>
      <c r="J24" s="6">
        <v>0</v>
      </c>
      <c r="K24">
        <f t="shared" ca="1" si="1"/>
        <v>307.12714494977627</v>
      </c>
      <c r="L24">
        <f t="shared" ca="1" si="2"/>
        <v>1.8915287041052293E-2</v>
      </c>
    </row>
    <row r="25" spans="1:12">
      <c r="A25" t="s">
        <v>14</v>
      </c>
      <c r="B25" s="1">
        <v>44998</v>
      </c>
      <c r="C25">
        <v>287.33999633789</v>
      </c>
      <c r="D25">
        <v>299.239990234375</v>
      </c>
      <c r="E25">
        <v>285.329986572265</v>
      </c>
      <c r="F25">
        <v>293.510009765625</v>
      </c>
      <c r="G25">
        <v>293.510009765625</v>
      </c>
      <c r="H25">
        <v>6292400</v>
      </c>
      <c r="I25" s="3">
        <f t="shared" si="0"/>
        <v>2.5618253005266212E-3</v>
      </c>
      <c r="J25" s="6">
        <v>0</v>
      </c>
      <c r="K25">
        <f t="shared" ca="1" si="1"/>
        <v>304.50285993303532</v>
      </c>
      <c r="L25">
        <f t="shared" ca="1" si="2"/>
        <v>1.943148129430429E-2</v>
      </c>
    </row>
    <row r="26" spans="1:12">
      <c r="A26" t="s">
        <v>14</v>
      </c>
      <c r="B26" s="1">
        <v>44999</v>
      </c>
      <c r="C26">
        <v>295.97000122070301</v>
      </c>
      <c r="D26">
        <v>297.45001220703102</v>
      </c>
      <c r="E26">
        <v>290.30999755859301</v>
      </c>
      <c r="F26">
        <v>294.94000244140602</v>
      </c>
      <c r="G26">
        <v>294.94000244140602</v>
      </c>
      <c r="H26">
        <v>5956700</v>
      </c>
      <c r="I26" s="3">
        <f t="shared" si="0"/>
        <v>4.872040571709757E-3</v>
      </c>
      <c r="J26" s="6">
        <v>0</v>
      </c>
      <c r="K26">
        <f t="shared" ca="1" si="1"/>
        <v>301.61143275669605</v>
      </c>
      <c r="L26">
        <f t="shared" ca="1" si="2"/>
        <v>1.860067237543701E-2</v>
      </c>
    </row>
    <row r="27" spans="1:12">
      <c r="A27" t="s">
        <v>14</v>
      </c>
      <c r="B27" s="1">
        <v>45000</v>
      </c>
      <c r="C27">
        <v>292.510009765625</v>
      </c>
      <c r="D27">
        <v>306.30999755859301</v>
      </c>
      <c r="E27">
        <v>292.27999877929602</v>
      </c>
      <c r="F27">
        <v>303.79000854492102</v>
      </c>
      <c r="G27">
        <v>303.79000854492102</v>
      </c>
      <c r="H27">
        <v>9215300</v>
      </c>
      <c r="I27" s="3">
        <f t="shared" si="0"/>
        <v>3.0006123381900895E-2</v>
      </c>
      <c r="J27" s="6">
        <v>0</v>
      </c>
      <c r="K27">
        <f t="shared" ca="1" si="1"/>
        <v>300.43429129464249</v>
      </c>
      <c r="L27">
        <f t="shared" ca="1" si="2"/>
        <v>2.377207064408679E-2</v>
      </c>
    </row>
    <row r="28" spans="1:12">
      <c r="A28" t="s">
        <v>14</v>
      </c>
      <c r="B28" s="1">
        <v>45001</v>
      </c>
      <c r="C28">
        <v>304.75</v>
      </c>
      <c r="D28">
        <v>316.600006103515</v>
      </c>
      <c r="E28">
        <v>301.70999145507801</v>
      </c>
      <c r="F28">
        <v>310.05999755859301</v>
      </c>
      <c r="G28">
        <v>310.05999755859301</v>
      </c>
      <c r="H28">
        <v>7903700</v>
      </c>
      <c r="I28" s="3">
        <f t="shared" si="0"/>
        <v>2.0639220636990974E-2</v>
      </c>
      <c r="J28" s="6">
        <v>0</v>
      </c>
      <c r="K28">
        <f t="shared" ca="1" si="1"/>
        <v>300.6614336286267</v>
      </c>
      <c r="L28">
        <f t="shared" ca="1" si="2"/>
        <v>2.50620952865994E-2</v>
      </c>
    </row>
    <row r="29" spans="1:12">
      <c r="A29" t="s">
        <v>14</v>
      </c>
      <c r="B29" s="1">
        <v>45002</v>
      </c>
      <c r="C29">
        <v>310.05999755859301</v>
      </c>
      <c r="D29">
        <v>310.760009765625</v>
      </c>
      <c r="E29">
        <v>300</v>
      </c>
      <c r="F29">
        <v>303.5</v>
      </c>
      <c r="G29">
        <v>303.5</v>
      </c>
      <c r="H29">
        <v>6918800</v>
      </c>
      <c r="I29" s="3">
        <f t="shared" si="0"/>
        <v>-2.1157187674147981E-2</v>
      </c>
      <c r="J29" s="6">
        <v>0</v>
      </c>
      <c r="K29">
        <f t="shared" ca="1" si="1"/>
        <v>299.47714669363802</v>
      </c>
      <c r="L29">
        <f t="shared" ca="1" si="2"/>
        <v>2.5881716521702527E-2</v>
      </c>
    </row>
    <row r="30" spans="1:12">
      <c r="A30" t="s">
        <v>14</v>
      </c>
      <c r="B30" s="1">
        <v>45005</v>
      </c>
      <c r="C30">
        <v>299.79000854492102</v>
      </c>
      <c r="D30">
        <v>307.5</v>
      </c>
      <c r="E30">
        <v>296</v>
      </c>
      <c r="F30">
        <v>305.13000488281199</v>
      </c>
      <c r="G30">
        <v>305.13000488281199</v>
      </c>
      <c r="H30">
        <v>5113400</v>
      </c>
      <c r="I30" s="3">
        <f t="shared" si="0"/>
        <v>5.370691541390471E-3</v>
      </c>
      <c r="J30" s="6">
        <v>0</v>
      </c>
      <c r="K30">
        <f t="shared" ca="1" si="1"/>
        <v>300.5271475655689</v>
      </c>
      <c r="L30">
        <f t="shared" ca="1" si="2"/>
        <v>1.8370682115689183E-2</v>
      </c>
    </row>
    <row r="31" spans="1:12">
      <c r="A31" t="s">
        <v>14</v>
      </c>
      <c r="B31" s="1">
        <v>45006</v>
      </c>
      <c r="C31">
        <v>306.32000732421801</v>
      </c>
      <c r="D31">
        <v>307.92001342773398</v>
      </c>
      <c r="E31">
        <v>300.42999267578102</v>
      </c>
      <c r="F31">
        <v>305.79000854492102</v>
      </c>
      <c r="G31">
        <v>305.79000854492102</v>
      </c>
      <c r="H31">
        <v>4886300</v>
      </c>
      <c r="I31" s="3">
        <f t="shared" si="0"/>
        <v>2.1630244536670062E-3</v>
      </c>
      <c r="J31" s="6">
        <v>0</v>
      </c>
      <c r="K31">
        <f t="shared" ca="1" si="1"/>
        <v>302.38857596261113</v>
      </c>
      <c r="L31">
        <f t="shared" ca="1" si="2"/>
        <v>1.6101054881680652E-2</v>
      </c>
    </row>
    <row r="32" spans="1:12">
      <c r="A32" t="s">
        <v>14</v>
      </c>
      <c r="B32" s="1">
        <v>45007</v>
      </c>
      <c r="C32">
        <v>306.30999755859301</v>
      </c>
      <c r="D32">
        <v>306.45001220703102</v>
      </c>
      <c r="E32">
        <v>293.54000854492102</v>
      </c>
      <c r="F32">
        <v>293.89999389648398</v>
      </c>
      <c r="G32">
        <v>293.89999389648398</v>
      </c>
      <c r="H32">
        <v>5808000</v>
      </c>
      <c r="I32" s="3">
        <f t="shared" si="0"/>
        <v>-3.8882940306044667E-2</v>
      </c>
      <c r="J32" s="6">
        <v>0</v>
      </c>
      <c r="K32">
        <f t="shared" ca="1" si="1"/>
        <v>302.44428798130531</v>
      </c>
      <c r="L32">
        <f t="shared" ca="1" si="2"/>
        <v>2.36002088663472E-2</v>
      </c>
    </row>
    <row r="33" spans="1:12">
      <c r="A33" t="s">
        <v>14</v>
      </c>
      <c r="B33" s="1">
        <v>45008</v>
      </c>
      <c r="C33">
        <v>304.67999267578102</v>
      </c>
      <c r="D33">
        <v>322.77999877929602</v>
      </c>
      <c r="E33">
        <v>304.14001464843699</v>
      </c>
      <c r="F33">
        <v>320.36999511718699</v>
      </c>
      <c r="G33">
        <v>320.36999511718699</v>
      </c>
      <c r="H33">
        <v>15653300</v>
      </c>
      <c r="I33" s="3">
        <f t="shared" si="0"/>
        <v>9.0064653863266564E-2</v>
      </c>
      <c r="J33" s="6">
        <v>0</v>
      </c>
      <c r="K33">
        <f t="shared" ca="1" si="1"/>
        <v>306.07714407784539</v>
      </c>
      <c r="L33">
        <f t="shared" ca="1" si="2"/>
        <v>4.1472097080492584E-2</v>
      </c>
    </row>
    <row r="34" spans="1:12">
      <c r="A34" t="s">
        <v>14</v>
      </c>
      <c r="B34" s="1">
        <v>45009</v>
      </c>
      <c r="C34">
        <v>320.63000488281199</v>
      </c>
      <c r="D34">
        <v>331.829986572265</v>
      </c>
      <c r="E34">
        <v>320.63000488281199</v>
      </c>
      <c r="F34">
        <v>328.39001464843699</v>
      </c>
      <c r="G34">
        <v>328.39001464843699</v>
      </c>
      <c r="H34">
        <v>12991700</v>
      </c>
      <c r="I34" s="3">
        <f t="shared" si="0"/>
        <v>2.5033616298294037E-2</v>
      </c>
      <c r="J34" s="6">
        <v>0</v>
      </c>
      <c r="K34">
        <f t="shared" ca="1" si="1"/>
        <v>309.59143066406199</v>
      </c>
      <c r="L34">
        <f t="shared" ca="1" si="2"/>
        <v>4.1165729140827396E-2</v>
      </c>
    </row>
    <row r="35" spans="1:12">
      <c r="A35" t="s">
        <v>14</v>
      </c>
      <c r="B35" s="1">
        <v>45012</v>
      </c>
      <c r="C35">
        <v>327.54998779296801</v>
      </c>
      <c r="D35">
        <v>336.44000244140602</v>
      </c>
      <c r="E35">
        <v>324.41000366210898</v>
      </c>
      <c r="F35">
        <v>327.66000366210898</v>
      </c>
      <c r="G35">
        <v>327.66000366210898</v>
      </c>
      <c r="H35">
        <v>8625800</v>
      </c>
      <c r="I35" s="3">
        <f t="shared" si="0"/>
        <v>-2.2229999505604114E-3</v>
      </c>
      <c r="J35" s="6">
        <v>0</v>
      </c>
      <c r="K35">
        <f t="shared" ca="1" si="1"/>
        <v>312.10571725027859</v>
      </c>
      <c r="L35">
        <f t="shared" ca="1" si="2"/>
        <v>4.1262714715220319E-2</v>
      </c>
    </row>
    <row r="36" spans="1:12">
      <c r="A36" t="s">
        <v>14</v>
      </c>
      <c r="B36" s="1">
        <v>45013</v>
      </c>
      <c r="C36">
        <v>326.05999755859301</v>
      </c>
      <c r="D36">
        <v>333.32000732421801</v>
      </c>
      <c r="E36">
        <v>321.27999877929602</v>
      </c>
      <c r="F36">
        <v>323.51998901367102</v>
      </c>
      <c r="G36">
        <v>323.51998901367102</v>
      </c>
      <c r="H36">
        <v>6489400</v>
      </c>
      <c r="I36" s="3">
        <f t="shared" si="0"/>
        <v>-1.2635093090907823E-2</v>
      </c>
      <c r="J36" s="6">
        <v>0</v>
      </c>
      <c r="K36">
        <f t="shared" ca="1" si="1"/>
        <v>314.96571568080299</v>
      </c>
      <c r="L36">
        <f t="shared" ca="1" si="2"/>
        <v>4.0353278279711011E-2</v>
      </c>
    </row>
    <row r="37" spans="1:12">
      <c r="A37" t="s">
        <v>14</v>
      </c>
      <c r="B37" s="1">
        <v>45014</v>
      </c>
      <c r="C37">
        <v>326.29000854492102</v>
      </c>
      <c r="D37">
        <v>332.850006103515</v>
      </c>
      <c r="E37">
        <v>325.73001098632801</v>
      </c>
      <c r="F37">
        <v>332.02999877929602</v>
      </c>
      <c r="G37">
        <v>332.02999877929602</v>
      </c>
      <c r="H37">
        <v>6287300</v>
      </c>
      <c r="I37" s="3">
        <f t="shared" si="0"/>
        <v>2.6304432661393928E-2</v>
      </c>
      <c r="J37" s="6">
        <v>0</v>
      </c>
      <c r="K37">
        <f t="shared" ca="1" si="1"/>
        <v>318.80857195172928</v>
      </c>
      <c r="L37">
        <f t="shared" ca="1" si="2"/>
        <v>4.0740554424470166E-2</v>
      </c>
    </row>
    <row r="38" spans="1:12">
      <c r="A38" t="s">
        <v>14</v>
      </c>
      <c r="B38" s="1">
        <v>45015</v>
      </c>
      <c r="C38">
        <v>340.26998901367102</v>
      </c>
      <c r="D38">
        <v>343.29000854492102</v>
      </c>
      <c r="E38">
        <v>335.29998779296801</v>
      </c>
      <c r="F38">
        <v>338.42999267578102</v>
      </c>
      <c r="G38">
        <v>338.42999267578102</v>
      </c>
      <c r="H38">
        <v>7131500</v>
      </c>
      <c r="I38" s="3">
        <f t="shared" si="0"/>
        <v>1.9275348372178813E-2</v>
      </c>
      <c r="J38" s="6">
        <v>0</v>
      </c>
      <c r="K38">
        <f t="shared" ca="1" si="1"/>
        <v>323.47142682756646</v>
      </c>
      <c r="L38">
        <f t="shared" ca="1" si="2"/>
        <v>4.0506398394058181E-2</v>
      </c>
    </row>
    <row r="39" spans="1:12">
      <c r="A39" t="s">
        <v>14</v>
      </c>
      <c r="B39" s="1">
        <v>45016</v>
      </c>
      <c r="C39">
        <v>340.04998779296801</v>
      </c>
      <c r="D39">
        <v>345.83999633789</v>
      </c>
      <c r="E39">
        <v>337.20001220703102</v>
      </c>
      <c r="F39">
        <v>345.48001098632801</v>
      </c>
      <c r="G39">
        <v>345.48001098632801</v>
      </c>
      <c r="H39">
        <v>5610200</v>
      </c>
      <c r="I39" s="3">
        <f t="shared" si="0"/>
        <v>2.0831541125555519E-2</v>
      </c>
      <c r="J39" s="6">
        <v>0</v>
      </c>
      <c r="K39">
        <f t="shared" ca="1" si="1"/>
        <v>330.8400006975441</v>
      </c>
      <c r="L39">
        <f t="shared" ca="1" si="2"/>
        <v>3.2743433744481631E-2</v>
      </c>
    </row>
    <row r="40" spans="1:12">
      <c r="A40" t="s">
        <v>14</v>
      </c>
      <c r="B40" s="1">
        <v>45019</v>
      </c>
      <c r="C40">
        <v>341.829986572265</v>
      </c>
      <c r="D40">
        <v>348.579986572265</v>
      </c>
      <c r="E40">
        <v>340.39999389648398</v>
      </c>
      <c r="F40">
        <v>348.27999877929602</v>
      </c>
      <c r="G40">
        <v>348.27999877929602</v>
      </c>
      <c r="H40">
        <v>4413700</v>
      </c>
      <c r="I40" s="3">
        <f t="shared" si="0"/>
        <v>8.1046303807106312E-3</v>
      </c>
      <c r="J40" s="6">
        <v>0</v>
      </c>
      <c r="K40">
        <f t="shared" ca="1" si="1"/>
        <v>334.82714407784539</v>
      </c>
      <c r="L40">
        <f t="shared" ca="1" si="2"/>
        <v>1.4886828060890197E-2</v>
      </c>
    </row>
    <row r="41" spans="1:12">
      <c r="A41" t="s">
        <v>14</v>
      </c>
      <c r="B41" s="1">
        <v>45020</v>
      </c>
      <c r="C41">
        <v>348.489990234375</v>
      </c>
      <c r="D41">
        <v>349.79998779296801</v>
      </c>
      <c r="E41">
        <v>343.95001220703102</v>
      </c>
      <c r="F41">
        <v>346.75</v>
      </c>
      <c r="G41">
        <v>346.75</v>
      </c>
      <c r="H41">
        <v>3298100</v>
      </c>
      <c r="I41" s="3">
        <f t="shared" si="0"/>
        <v>-4.3930136231152828E-3</v>
      </c>
      <c r="J41" s="6">
        <v>0</v>
      </c>
      <c r="K41">
        <f t="shared" ca="1" si="1"/>
        <v>337.44999912806873</v>
      </c>
      <c r="L41">
        <f t="shared" ca="1" si="2"/>
        <v>1.477989346655117E-2</v>
      </c>
    </row>
    <row r="42" spans="1:12">
      <c r="A42" t="s">
        <v>14</v>
      </c>
      <c r="B42" s="1">
        <v>45021</v>
      </c>
      <c r="C42">
        <v>345.29998779296801</v>
      </c>
      <c r="D42">
        <v>345.42999267578102</v>
      </c>
      <c r="E42">
        <v>336.25</v>
      </c>
      <c r="F42">
        <v>342.350006103515</v>
      </c>
      <c r="G42">
        <v>342.350006103515</v>
      </c>
      <c r="H42">
        <v>4205500</v>
      </c>
      <c r="I42" s="3">
        <f t="shared" si="0"/>
        <v>-1.2689239787988416E-2</v>
      </c>
      <c r="J42" s="6">
        <v>0</v>
      </c>
      <c r="K42">
        <f t="shared" ca="1" si="1"/>
        <v>339.54857090541242</v>
      </c>
      <c r="L42">
        <f t="shared" ca="1" si="2"/>
        <v>1.6413201834318127E-2</v>
      </c>
    </row>
    <row r="43" spans="1:12">
      <c r="A43" t="s">
        <v>14</v>
      </c>
      <c r="B43" s="1">
        <v>45022</v>
      </c>
      <c r="C43">
        <v>339.33999633789</v>
      </c>
      <c r="D43">
        <v>340.48001098632801</v>
      </c>
      <c r="E43">
        <v>332.63000488281199</v>
      </c>
      <c r="F43">
        <v>339.329986572265</v>
      </c>
      <c r="G43">
        <v>339.329986572265</v>
      </c>
      <c r="H43">
        <v>4660500</v>
      </c>
      <c r="I43" s="3">
        <f t="shared" si="0"/>
        <v>-8.8214385202518564E-3</v>
      </c>
      <c r="J43" s="6">
        <v>0</v>
      </c>
      <c r="K43">
        <f t="shared" ca="1" si="1"/>
        <v>341.80714198521162</v>
      </c>
      <c r="L43">
        <f t="shared" ca="1" si="2"/>
        <v>1.5724929244742614E-2</v>
      </c>
    </row>
    <row r="44" spans="1:12">
      <c r="A44" t="s">
        <v>14</v>
      </c>
      <c r="B44" s="1">
        <v>45026</v>
      </c>
      <c r="C44">
        <v>335.26998901367102</v>
      </c>
      <c r="D44">
        <v>339.88000488281199</v>
      </c>
      <c r="E44">
        <v>333.35998535156199</v>
      </c>
      <c r="F44">
        <v>338.989990234375</v>
      </c>
      <c r="G44">
        <v>338.989990234375</v>
      </c>
      <c r="H44">
        <v>2657900</v>
      </c>
      <c r="I44" s="3">
        <f t="shared" si="0"/>
        <v>-1.0019637265908932E-3</v>
      </c>
      <c r="J44" s="6">
        <v>0</v>
      </c>
      <c r="K44">
        <f t="shared" ca="1" si="1"/>
        <v>342.80142647879433</v>
      </c>
      <c r="L44">
        <f t="shared" ca="1" si="2"/>
        <v>1.3325825353315465E-2</v>
      </c>
    </row>
    <row r="45" spans="1:12">
      <c r="A45" t="s">
        <v>14</v>
      </c>
      <c r="B45" s="1">
        <v>45027</v>
      </c>
      <c r="C45">
        <v>343.45001220703102</v>
      </c>
      <c r="D45">
        <v>347.14001464843699</v>
      </c>
      <c r="E45">
        <v>337.64001464843699</v>
      </c>
      <c r="F45">
        <v>338.20999145507801</v>
      </c>
      <c r="G45">
        <v>338.20999145507801</v>
      </c>
      <c r="H45">
        <v>4044800</v>
      </c>
      <c r="I45" s="3">
        <f t="shared" si="0"/>
        <v>-2.3009492957526412E-3</v>
      </c>
      <c r="J45" s="6">
        <v>0</v>
      </c>
      <c r="K45">
        <f t="shared" ca="1" si="1"/>
        <v>342.76999773297956</v>
      </c>
      <c r="L45">
        <f t="shared" ca="1" si="2"/>
        <v>1.1284644014111079E-2</v>
      </c>
    </row>
    <row r="46" spans="1:12">
      <c r="A46" t="s">
        <v>14</v>
      </c>
      <c r="B46" s="1">
        <v>45028</v>
      </c>
      <c r="C46">
        <v>340.80999755859301</v>
      </c>
      <c r="D46">
        <v>342.79998779296801</v>
      </c>
      <c r="E46">
        <v>330.04000854492102</v>
      </c>
      <c r="F46">
        <v>331.02999877929602</v>
      </c>
      <c r="G46">
        <v>331.02999877929602</v>
      </c>
      <c r="H46">
        <v>3965400</v>
      </c>
      <c r="I46" s="3">
        <f t="shared" si="0"/>
        <v>-2.1229392558426707E-2</v>
      </c>
      <c r="J46" s="6">
        <v>0</v>
      </c>
      <c r="K46">
        <f t="shared" ca="1" si="1"/>
        <v>340.70571027483214</v>
      </c>
      <c r="L46">
        <f t="shared" ca="1" si="2"/>
        <v>9.3524640402718601E-3</v>
      </c>
    </row>
    <row r="47" spans="1:12">
      <c r="A47" t="s">
        <v>14</v>
      </c>
      <c r="B47" s="1">
        <v>45029</v>
      </c>
      <c r="C47">
        <v>339.989990234375</v>
      </c>
      <c r="D47">
        <v>346.42999267578102</v>
      </c>
      <c r="E47">
        <v>338.75</v>
      </c>
      <c r="F47">
        <v>346.19000244140602</v>
      </c>
      <c r="G47">
        <v>346.19000244140602</v>
      </c>
      <c r="H47">
        <v>7406400</v>
      </c>
      <c r="I47" s="3">
        <f t="shared" si="0"/>
        <v>4.5796464725293529E-2</v>
      </c>
      <c r="J47" s="6">
        <v>0</v>
      </c>
      <c r="K47">
        <f t="shared" ca="1" si="1"/>
        <v>340.40713936941927</v>
      </c>
      <c r="L47">
        <f t="shared" ca="1" si="2"/>
        <v>2.1638544712231783E-2</v>
      </c>
    </row>
    <row r="48" spans="1:12">
      <c r="A48" t="s">
        <v>14</v>
      </c>
      <c r="B48" s="1">
        <v>45030</v>
      </c>
      <c r="C48">
        <v>342.94000244140602</v>
      </c>
      <c r="D48">
        <v>344.850006103515</v>
      </c>
      <c r="E48">
        <v>336.41000366210898</v>
      </c>
      <c r="F48">
        <v>338.63000488281199</v>
      </c>
      <c r="G48">
        <v>338.63000488281199</v>
      </c>
      <c r="H48">
        <v>5350500</v>
      </c>
      <c r="I48" s="3">
        <f t="shared" si="0"/>
        <v>-2.1837711965335016E-2</v>
      </c>
      <c r="J48" s="6">
        <v>0</v>
      </c>
      <c r="K48">
        <f t="shared" ca="1" si="1"/>
        <v>339.24714006696382</v>
      </c>
      <c r="L48">
        <f t="shared" ca="1" si="2"/>
        <v>2.3095268321461013E-2</v>
      </c>
    </row>
    <row r="49" spans="1:12">
      <c r="A49" t="s">
        <v>14</v>
      </c>
      <c r="B49" s="1">
        <v>45033</v>
      </c>
      <c r="C49">
        <v>338</v>
      </c>
      <c r="D49">
        <v>338.39001464843699</v>
      </c>
      <c r="E49">
        <v>327.5</v>
      </c>
      <c r="F49">
        <v>332.72000122070301</v>
      </c>
      <c r="G49">
        <v>332.72000122070301</v>
      </c>
      <c r="H49">
        <v>6136000</v>
      </c>
      <c r="I49" s="3">
        <f t="shared" si="0"/>
        <v>-1.7452687525886024E-2</v>
      </c>
      <c r="J49" s="6">
        <v>0</v>
      </c>
      <c r="K49">
        <f t="shared" ca="1" si="1"/>
        <v>337.87142508370505</v>
      </c>
      <c r="L49">
        <f t="shared" ca="1" si="2"/>
        <v>2.3489821232095795E-2</v>
      </c>
    </row>
    <row r="50" spans="1:12">
      <c r="A50" t="s">
        <v>14</v>
      </c>
      <c r="B50" s="1">
        <v>45034</v>
      </c>
      <c r="C50">
        <v>335</v>
      </c>
      <c r="D50">
        <v>337.19000244140602</v>
      </c>
      <c r="E50">
        <v>330.5</v>
      </c>
      <c r="F50">
        <v>333.70001220703102</v>
      </c>
      <c r="G50">
        <v>333.70001220703102</v>
      </c>
      <c r="H50">
        <v>17944500</v>
      </c>
      <c r="I50" s="3">
        <f t="shared" si="0"/>
        <v>2.9454525809464727E-3</v>
      </c>
      <c r="J50" s="6">
        <v>0</v>
      </c>
      <c r="K50">
        <f t="shared" ca="1" si="1"/>
        <v>337.06714303152876</v>
      </c>
      <c r="L50">
        <f t="shared" ca="1" si="2"/>
        <v>2.3494571084133931E-2</v>
      </c>
    </row>
    <row r="51" spans="1:12">
      <c r="A51" t="s">
        <v>14</v>
      </c>
      <c r="B51" s="1">
        <v>45035</v>
      </c>
      <c r="C51">
        <v>324.20999145507801</v>
      </c>
      <c r="D51">
        <v>325.75</v>
      </c>
      <c r="E51">
        <v>316.100006103515</v>
      </c>
      <c r="F51">
        <v>323.11999511718699</v>
      </c>
      <c r="G51">
        <v>323.11999511718699</v>
      </c>
      <c r="H51">
        <v>22128300</v>
      </c>
      <c r="I51" s="3">
        <f t="shared" si="0"/>
        <v>-3.1705174416595705E-2</v>
      </c>
      <c r="J51" s="6">
        <v>0</v>
      </c>
      <c r="K51">
        <f t="shared" ca="1" si="1"/>
        <v>334.80000087193042</v>
      </c>
      <c r="L51">
        <f t="shared" ca="1" si="2"/>
        <v>2.5978259810726788E-2</v>
      </c>
    </row>
    <row r="52" spans="1:12">
      <c r="A52" t="s">
        <v>14</v>
      </c>
      <c r="B52" s="1">
        <v>45036</v>
      </c>
      <c r="C52">
        <v>320.39001464843699</v>
      </c>
      <c r="D52">
        <v>331.42999267578102</v>
      </c>
      <c r="E52">
        <v>318.329986572265</v>
      </c>
      <c r="F52">
        <v>325.350006103515</v>
      </c>
      <c r="G52">
        <v>325.350006103515</v>
      </c>
      <c r="H52">
        <v>9947800</v>
      </c>
      <c r="I52" s="3">
        <f t="shared" si="0"/>
        <v>6.9014948626724415E-3</v>
      </c>
      <c r="J52" s="6">
        <v>0</v>
      </c>
      <c r="K52">
        <f t="shared" ca="1" si="1"/>
        <v>332.96286010742142</v>
      </c>
      <c r="L52">
        <f t="shared" ca="1" si="2"/>
        <v>2.6456999039261055E-2</v>
      </c>
    </row>
    <row r="53" spans="1:12">
      <c r="A53" t="s">
        <v>14</v>
      </c>
      <c r="B53" s="1">
        <v>45037</v>
      </c>
      <c r="C53">
        <v>323</v>
      </c>
      <c r="D53">
        <v>328.29000854492102</v>
      </c>
      <c r="E53">
        <v>319.5</v>
      </c>
      <c r="F53">
        <v>327.98001098632801</v>
      </c>
      <c r="G53">
        <v>327.98001098632801</v>
      </c>
      <c r="H53">
        <v>6348000</v>
      </c>
      <c r="I53" s="3">
        <f t="shared" si="0"/>
        <v>8.0836171307039351E-3</v>
      </c>
      <c r="J53" s="6">
        <v>0</v>
      </c>
      <c r="K53">
        <f t="shared" ca="1" si="1"/>
        <v>332.5271475655689</v>
      </c>
      <c r="L53">
        <f t="shared" ca="1" si="2"/>
        <v>2.5813820679722592E-2</v>
      </c>
    </row>
    <row r="54" spans="1:12">
      <c r="A54" t="s">
        <v>14</v>
      </c>
      <c r="B54" s="1">
        <v>45040</v>
      </c>
      <c r="C54">
        <v>330.20001220703102</v>
      </c>
      <c r="D54">
        <v>334.66000366210898</v>
      </c>
      <c r="E54">
        <v>326.75</v>
      </c>
      <c r="F54">
        <v>329.01998901367102</v>
      </c>
      <c r="G54">
        <v>329.01998901367102</v>
      </c>
      <c r="H54">
        <v>5586600</v>
      </c>
      <c r="I54" s="3">
        <f t="shared" si="0"/>
        <v>3.1708579562990113E-3</v>
      </c>
      <c r="J54" s="6">
        <v>0</v>
      </c>
      <c r="K54">
        <f t="shared" ca="1" si="1"/>
        <v>330.07428850446382</v>
      </c>
      <c r="L54">
        <f t="shared" ca="1" si="2"/>
        <v>1.6138841575339034E-2</v>
      </c>
    </row>
    <row r="55" spans="1:12">
      <c r="A55" t="s">
        <v>14</v>
      </c>
      <c r="B55" s="1">
        <v>45041</v>
      </c>
      <c r="C55">
        <v>328.5</v>
      </c>
      <c r="D55">
        <v>328.66000366210898</v>
      </c>
      <c r="E55">
        <v>321.100006103515</v>
      </c>
      <c r="F55">
        <v>322.54998779296801</v>
      </c>
      <c r="G55">
        <v>322.54998779296801</v>
      </c>
      <c r="H55">
        <v>5426600</v>
      </c>
      <c r="I55" s="3">
        <f t="shared" si="0"/>
        <v>-1.9664462454389575E-2</v>
      </c>
      <c r="J55" s="6">
        <v>0</v>
      </c>
      <c r="K55">
        <f t="shared" ca="1" si="1"/>
        <v>327.77714320591468</v>
      </c>
      <c r="L55">
        <f t="shared" ca="1" si="2"/>
        <v>1.5826584412852267E-2</v>
      </c>
    </row>
    <row r="56" spans="1:12">
      <c r="A56" t="s">
        <v>14</v>
      </c>
      <c r="B56" s="1">
        <v>45042</v>
      </c>
      <c r="C56">
        <v>321.35998535156199</v>
      </c>
      <c r="D56">
        <v>325.89999389648398</v>
      </c>
      <c r="E56">
        <v>320.47000122070301</v>
      </c>
      <c r="F56">
        <v>321.14999389648398</v>
      </c>
      <c r="G56">
        <v>321.14999389648398</v>
      </c>
      <c r="H56">
        <v>4623200</v>
      </c>
      <c r="I56" s="3">
        <f t="shared" si="0"/>
        <v>-4.3403935807390104E-3</v>
      </c>
      <c r="J56" s="6">
        <v>0</v>
      </c>
      <c r="K56">
        <f t="shared" ca="1" si="1"/>
        <v>326.1242850167406</v>
      </c>
      <c r="L56">
        <f t="shared" ca="1" si="2"/>
        <v>1.5118122403299345E-2</v>
      </c>
    </row>
    <row r="57" spans="1:12">
      <c r="A57" t="s">
        <v>14</v>
      </c>
      <c r="B57" s="1">
        <v>45043</v>
      </c>
      <c r="C57">
        <v>324.29998779296801</v>
      </c>
      <c r="D57">
        <v>327.45001220703102</v>
      </c>
      <c r="E57">
        <v>317.44000244140602</v>
      </c>
      <c r="F57">
        <v>325.850006103515</v>
      </c>
      <c r="G57">
        <v>325.850006103515</v>
      </c>
      <c r="H57">
        <v>5618800</v>
      </c>
      <c r="I57" s="3">
        <f t="shared" si="0"/>
        <v>1.4634944095767155E-2</v>
      </c>
      <c r="J57" s="6">
        <v>0</v>
      </c>
      <c r="K57">
        <f t="shared" ca="1" si="1"/>
        <v>325.00285557338117</v>
      </c>
      <c r="L57">
        <f t="shared" ca="1" si="2"/>
        <v>1.6697897914392031E-2</v>
      </c>
    </row>
    <row r="58" spans="1:12">
      <c r="A58" t="s">
        <v>14</v>
      </c>
      <c r="B58" s="1">
        <v>45044</v>
      </c>
      <c r="C58">
        <v>325.239990234375</v>
      </c>
      <c r="D58">
        <v>330.80999755859301</v>
      </c>
      <c r="E58">
        <v>324</v>
      </c>
      <c r="F58">
        <v>329.92999267578102</v>
      </c>
      <c r="G58">
        <v>329.92999267578102</v>
      </c>
      <c r="H58">
        <v>4221900</v>
      </c>
      <c r="I58" s="3">
        <f t="shared" si="0"/>
        <v>1.2521057222168341E-2</v>
      </c>
      <c r="J58" s="6">
        <v>0</v>
      </c>
      <c r="K58">
        <f t="shared" ca="1" si="1"/>
        <v>325.97571236746597</v>
      </c>
      <c r="L58">
        <f t="shared" ca="1" si="2"/>
        <v>1.179450602674827E-2</v>
      </c>
    </row>
    <row r="59" spans="1:12">
      <c r="A59" t="s">
        <v>14</v>
      </c>
      <c r="B59" s="1">
        <v>45047</v>
      </c>
      <c r="C59">
        <v>329.44000244140602</v>
      </c>
      <c r="D59">
        <v>331.23001098632801</v>
      </c>
      <c r="E59">
        <v>318.08999633789</v>
      </c>
      <c r="F59">
        <v>324.11999511718699</v>
      </c>
      <c r="G59">
        <v>324.11999511718699</v>
      </c>
      <c r="H59">
        <v>5341500</v>
      </c>
      <c r="I59" s="3">
        <f t="shared" si="0"/>
        <v>-1.7609789008492638E-2</v>
      </c>
      <c r="J59" s="6">
        <v>0</v>
      </c>
      <c r="K59">
        <f t="shared" ca="1" si="1"/>
        <v>325.79999651227627</v>
      </c>
      <c r="L59">
        <f t="shared" ca="1" si="2"/>
        <v>1.3907586459490162E-2</v>
      </c>
    </row>
    <row r="60" spans="1:12">
      <c r="A60" t="s">
        <v>14</v>
      </c>
      <c r="B60" s="1">
        <v>45048</v>
      </c>
      <c r="C60">
        <v>325</v>
      </c>
      <c r="D60">
        <v>326.07000732421801</v>
      </c>
      <c r="E60">
        <v>315.61999511718699</v>
      </c>
      <c r="F60">
        <v>317.54998779296801</v>
      </c>
      <c r="G60">
        <v>317.54998779296801</v>
      </c>
      <c r="H60">
        <v>4318600</v>
      </c>
      <c r="I60" s="3">
        <f t="shared" si="0"/>
        <v>-2.0270293172883536E-2</v>
      </c>
      <c r="J60" s="6">
        <v>0</v>
      </c>
      <c r="K60">
        <f t="shared" ca="1" si="1"/>
        <v>324.30999319893914</v>
      </c>
      <c r="L60">
        <f t="shared" ca="1" si="2"/>
        <v>1.508453493239144E-2</v>
      </c>
    </row>
    <row r="61" spans="1:12">
      <c r="A61" t="s">
        <v>14</v>
      </c>
      <c r="B61" s="1">
        <v>45049</v>
      </c>
      <c r="C61">
        <v>317.54998779296801</v>
      </c>
      <c r="D61">
        <v>324.61999511718699</v>
      </c>
      <c r="E61">
        <v>315.850006103515</v>
      </c>
      <c r="F61">
        <v>319.29998779296801</v>
      </c>
      <c r="G61">
        <v>319.29998779296801</v>
      </c>
      <c r="H61">
        <v>5064100</v>
      </c>
      <c r="I61" s="3">
        <f t="shared" si="0"/>
        <v>5.5109433704054744E-3</v>
      </c>
      <c r="J61" s="6">
        <v>0</v>
      </c>
      <c r="K61">
        <f t="shared" ca="1" si="1"/>
        <v>322.92142159598154</v>
      </c>
      <c r="L61">
        <f t="shared" ca="1" si="2"/>
        <v>1.5307365524477843E-2</v>
      </c>
    </row>
    <row r="62" spans="1:12">
      <c r="A62" t="s">
        <v>14</v>
      </c>
      <c r="B62" s="1">
        <v>45050</v>
      </c>
      <c r="C62">
        <v>319.010009765625</v>
      </c>
      <c r="D62">
        <v>323.60998535156199</v>
      </c>
      <c r="E62">
        <v>317.95001220703102</v>
      </c>
      <c r="F62">
        <v>320.77999877929602</v>
      </c>
      <c r="G62">
        <v>320.77999877929602</v>
      </c>
      <c r="H62">
        <v>3879700</v>
      </c>
      <c r="I62" s="3">
        <f t="shared" si="0"/>
        <v>4.635173952113103E-3</v>
      </c>
      <c r="J62" s="6">
        <v>0</v>
      </c>
      <c r="K62">
        <f t="shared" ca="1" si="1"/>
        <v>322.66856602259986</v>
      </c>
      <c r="L62">
        <f t="shared" ca="1" si="2"/>
        <v>1.3899559463092829E-2</v>
      </c>
    </row>
    <row r="63" spans="1:12">
      <c r="A63" t="s">
        <v>14</v>
      </c>
      <c r="B63" s="1">
        <v>45051</v>
      </c>
      <c r="C63">
        <v>323.60998535156199</v>
      </c>
      <c r="D63">
        <v>324.14999389648398</v>
      </c>
      <c r="E63">
        <v>319.44000244140602</v>
      </c>
      <c r="F63">
        <v>322.760009765625</v>
      </c>
      <c r="G63">
        <v>322.760009765625</v>
      </c>
      <c r="H63">
        <v>3988600</v>
      </c>
      <c r="I63" s="3">
        <f t="shared" si="0"/>
        <v>6.1724889140961636E-3</v>
      </c>
      <c r="J63" s="6">
        <v>0</v>
      </c>
      <c r="K63">
        <f t="shared" ca="1" si="1"/>
        <v>322.89856828962002</v>
      </c>
      <c r="L63">
        <f t="shared" ca="1" si="2"/>
        <v>1.4008518990239463E-2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3"/>
  <sheetViews>
    <sheetView topLeftCell="E48" workbookViewId="0">
      <selection activeCell="U39" sqref="U39"/>
    </sheetView>
  </sheetViews>
  <sheetFormatPr defaultRowHeight="15"/>
  <cols>
    <col min="1" max="7" width="11" customWidth="1"/>
    <col min="8" max="8" width="10.28515625" customWidth="1"/>
    <col min="9" max="9" width="14.5703125" bestFit="1" customWidth="1"/>
    <col min="10" max="10" width="14.5703125" customWidth="1"/>
    <col min="11" max="11" width="16.5703125" bestFit="1" customWidth="1"/>
    <col min="12" max="12" width="12" bestFit="1" customWidth="1"/>
    <col min="21" max="21" width="15.28515625" bestFit="1" customWidth="1"/>
    <col min="22" max="22" width="13.57031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15</v>
      </c>
      <c r="K1" s="2" t="s">
        <v>9</v>
      </c>
      <c r="L1" s="2" t="s">
        <v>10</v>
      </c>
      <c r="U1" t="s">
        <v>16</v>
      </c>
      <c r="V1" s="4">
        <f>AVERAGE(I2:I63)</f>
        <v>-6.6809074976283025E-5</v>
      </c>
    </row>
    <row r="2" spans="1:22">
      <c r="A2" t="s">
        <v>12</v>
      </c>
      <c r="B2" s="1">
        <v>44964</v>
      </c>
      <c r="C2">
        <v>103.629997253417</v>
      </c>
      <c r="D2">
        <v>108.669998168945</v>
      </c>
      <c r="E2">
        <v>103.54799652099599</v>
      </c>
      <c r="F2">
        <v>108.040000915527</v>
      </c>
      <c r="G2">
        <v>108.040000915527</v>
      </c>
      <c r="H2">
        <v>33738800</v>
      </c>
      <c r="I2" s="3"/>
      <c r="J2" s="6">
        <v>0</v>
      </c>
      <c r="U2" t="s">
        <v>17</v>
      </c>
      <c r="V2" s="5">
        <f ca="1">AVERAGEIF(L2:L63,"&lt;&gt;")</f>
        <v>1.8307489145445967E-2</v>
      </c>
    </row>
    <row r="3" spans="1:22">
      <c r="A3" t="s">
        <v>12</v>
      </c>
      <c r="B3" s="1">
        <v>44965</v>
      </c>
      <c r="C3">
        <v>102.69000244140599</v>
      </c>
      <c r="D3">
        <v>103.58000183105401</v>
      </c>
      <c r="E3">
        <v>98.455001831054602</v>
      </c>
      <c r="F3">
        <v>100</v>
      </c>
      <c r="G3">
        <v>100</v>
      </c>
      <c r="H3">
        <v>73546000</v>
      </c>
      <c r="I3" s="3">
        <f>(G3/G2)-1</f>
        <v>-7.441689047941813E-2</v>
      </c>
      <c r="J3" s="6">
        <v>0</v>
      </c>
      <c r="U3" t="s">
        <v>18</v>
      </c>
      <c r="V3" s="4">
        <f>MAX(I2:I63)</f>
        <v>4.6815085450004235E-2</v>
      </c>
    </row>
    <row r="4" spans="1:22">
      <c r="A4" t="s">
        <v>12</v>
      </c>
      <c r="B4" s="1">
        <v>44966</v>
      </c>
      <c r="C4">
        <v>100.540000915527</v>
      </c>
      <c r="D4">
        <v>100.61000061035099</v>
      </c>
      <c r="E4">
        <v>93.860000610351506</v>
      </c>
      <c r="F4">
        <v>95.459999084472599</v>
      </c>
      <c r="G4">
        <v>95.459999084472599</v>
      </c>
      <c r="H4">
        <v>97798600</v>
      </c>
      <c r="I4" s="3">
        <f t="shared" ref="I4:I63" si="0">(G4/G3)-1</f>
        <v>-4.5400009155273979E-2</v>
      </c>
      <c r="J4" s="6">
        <v>0</v>
      </c>
      <c r="U4" t="s">
        <v>19</v>
      </c>
      <c r="V4" s="4">
        <f>MIN(I2:I63)</f>
        <v>-7.441689047941813E-2</v>
      </c>
    </row>
    <row r="5" spans="1:22">
      <c r="A5" t="s">
        <v>12</v>
      </c>
      <c r="B5" s="1">
        <v>44967</v>
      </c>
      <c r="C5">
        <v>95.739997863769503</v>
      </c>
      <c r="D5">
        <v>97.019996643066406</v>
      </c>
      <c r="E5">
        <v>94.529998779296804</v>
      </c>
      <c r="F5">
        <v>94.860000610351506</v>
      </c>
      <c r="G5">
        <v>94.860000610351506</v>
      </c>
      <c r="H5">
        <v>49325300</v>
      </c>
      <c r="I5" s="3">
        <f t="shared" si="0"/>
        <v>-6.2853391983604956E-3</v>
      </c>
      <c r="J5" s="6">
        <v>0</v>
      </c>
      <c r="U5" t="s">
        <v>20</v>
      </c>
      <c r="V5" s="4" cm="1">
        <f t="array" aca="1" ref="V5" ca="1">INDEX(L2:L63,COUNTA(L2:L63))</f>
        <v>1.7423381332031928E-2</v>
      </c>
    </row>
    <row r="6" spans="1:22">
      <c r="A6" t="s">
        <v>12</v>
      </c>
      <c r="B6" s="1">
        <v>44970</v>
      </c>
      <c r="C6">
        <v>95.010002136230398</v>
      </c>
      <c r="D6">
        <v>95.349998474121094</v>
      </c>
      <c r="E6">
        <v>94.050003051757798</v>
      </c>
      <c r="F6">
        <v>95</v>
      </c>
      <c r="G6">
        <v>95</v>
      </c>
      <c r="H6">
        <v>43116600</v>
      </c>
      <c r="I6" s="3">
        <f t="shared" si="0"/>
        <v>1.4758527171379043E-3</v>
      </c>
      <c r="J6" s="6">
        <v>0</v>
      </c>
    </row>
    <row r="7" spans="1:22">
      <c r="A7" t="s">
        <v>12</v>
      </c>
      <c r="B7" s="1">
        <v>44971</v>
      </c>
      <c r="C7">
        <v>94.660003662109304</v>
      </c>
      <c r="D7">
        <v>95.175003051757798</v>
      </c>
      <c r="E7">
        <v>92.650001525878906</v>
      </c>
      <c r="F7">
        <v>94.949996948242102</v>
      </c>
      <c r="G7">
        <v>94.949996948242102</v>
      </c>
      <c r="H7">
        <v>42513100</v>
      </c>
      <c r="I7" s="3">
        <f t="shared" si="0"/>
        <v>-5.2634791324102093E-4</v>
      </c>
      <c r="J7" s="6">
        <v>0</v>
      </c>
    </row>
    <row r="8" spans="1:22">
      <c r="A8" t="s">
        <v>12</v>
      </c>
      <c r="B8" s="1">
        <v>44972</v>
      </c>
      <c r="C8">
        <v>94.739997863769503</v>
      </c>
      <c r="D8">
        <v>97.339996337890597</v>
      </c>
      <c r="E8">
        <v>94.360000610351506</v>
      </c>
      <c r="F8">
        <v>97.099998474121094</v>
      </c>
      <c r="G8">
        <v>97.099998474121094</v>
      </c>
      <c r="H8">
        <v>36964500</v>
      </c>
      <c r="I8" s="3">
        <f t="shared" si="0"/>
        <v>2.2643513375266044E-2</v>
      </c>
      <c r="J8" s="6">
        <v>0</v>
      </c>
      <c r="K8">
        <f ca="1">AVERAGE(OFFSET(G8,-6,0,7,1))</f>
        <v>97.915713718959182</v>
      </c>
      <c r="L8">
        <f ca="1">STDEV(OFFSET(I8,-6,0,7,1))</f>
        <v>3.5783703190873886E-2</v>
      </c>
    </row>
    <row r="9" spans="1:22">
      <c r="A9" t="s">
        <v>12</v>
      </c>
      <c r="B9" s="1">
        <v>44973</v>
      </c>
      <c r="C9">
        <v>95.540000915527301</v>
      </c>
      <c r="D9">
        <v>97.879997253417898</v>
      </c>
      <c r="E9">
        <v>94.970001220703097</v>
      </c>
      <c r="F9">
        <v>95.779998779296804</v>
      </c>
      <c r="G9">
        <v>95.779998779296804</v>
      </c>
      <c r="H9">
        <v>35642100</v>
      </c>
      <c r="I9" s="3">
        <f t="shared" si="0"/>
        <v>-1.3594229820467985E-2</v>
      </c>
      <c r="J9" s="6">
        <v>0</v>
      </c>
      <c r="K9">
        <f t="shared" ref="K9:K63" ca="1" si="1">AVERAGE(OFFSET(G9,-6,0,7,1))</f>
        <v>96.16428484235486</v>
      </c>
      <c r="L9">
        <f t="shared" ref="L9:L63" ca="1" si="2">STDEV(OFFSET(I9,-6,0,7,1))</f>
        <v>3.2692534792832004E-2</v>
      </c>
    </row>
    <row r="10" spans="1:22">
      <c r="A10" t="s">
        <v>12</v>
      </c>
      <c r="B10" s="1">
        <v>44974</v>
      </c>
      <c r="C10">
        <v>95.069999694824205</v>
      </c>
      <c r="D10">
        <v>95.75</v>
      </c>
      <c r="E10">
        <v>93.449996948242102</v>
      </c>
      <c r="F10">
        <v>94.589996337890597</v>
      </c>
      <c r="G10">
        <v>94.589996337890597</v>
      </c>
      <c r="H10">
        <v>31095100</v>
      </c>
      <c r="I10" s="3">
        <f t="shared" si="0"/>
        <v>-1.2424331348638851E-2</v>
      </c>
      <c r="J10" s="6">
        <v>0</v>
      </c>
      <c r="K10">
        <f t="shared" ca="1" si="1"/>
        <v>95.391427176339235</v>
      </c>
      <c r="L10">
        <f t="shared" ca="1" si="2"/>
        <v>2.0561830394645347E-2</v>
      </c>
    </row>
    <row r="11" spans="1:22">
      <c r="A11" t="s">
        <v>12</v>
      </c>
      <c r="B11" s="1">
        <v>44978</v>
      </c>
      <c r="C11">
        <v>93.239997863769503</v>
      </c>
      <c r="D11">
        <v>93.415000915527301</v>
      </c>
      <c r="E11">
        <v>92</v>
      </c>
      <c r="F11">
        <v>92.050003051757798</v>
      </c>
      <c r="G11">
        <v>92.050003051757798</v>
      </c>
      <c r="H11">
        <v>28367200</v>
      </c>
      <c r="I11" s="3">
        <f t="shared" si="0"/>
        <v>-2.6852662908026126E-2</v>
      </c>
      <c r="J11" s="6">
        <v>0</v>
      </c>
      <c r="K11">
        <f t="shared" ca="1" si="1"/>
        <v>94.904284885951412</v>
      </c>
      <c r="L11">
        <f t="shared" ca="1" si="2"/>
        <v>1.5460924666899259E-2</v>
      </c>
    </row>
    <row r="12" spans="1:22">
      <c r="A12" t="s">
        <v>12</v>
      </c>
      <c r="B12" s="1">
        <v>44979</v>
      </c>
      <c r="C12">
        <v>91.933998107910099</v>
      </c>
      <c r="D12">
        <v>92.360000610351506</v>
      </c>
      <c r="E12">
        <v>90.870002746582003</v>
      </c>
      <c r="F12">
        <v>91.800003051757798</v>
      </c>
      <c r="G12">
        <v>91.800003051757798</v>
      </c>
      <c r="H12">
        <v>29891100</v>
      </c>
      <c r="I12" s="3">
        <f t="shared" si="0"/>
        <v>-2.7159151734023057E-3</v>
      </c>
      <c r="J12" s="6">
        <v>0</v>
      </c>
      <c r="K12">
        <f t="shared" ca="1" si="1"/>
        <v>94.467142377580885</v>
      </c>
      <c r="L12">
        <f t="shared" ca="1" si="2"/>
        <v>1.5473421872571586E-2</v>
      </c>
    </row>
    <row r="13" spans="1:22">
      <c r="A13" t="s">
        <v>12</v>
      </c>
      <c r="B13" s="1">
        <v>44980</v>
      </c>
      <c r="C13">
        <v>92.129997253417898</v>
      </c>
      <c r="D13">
        <v>92.129997253417898</v>
      </c>
      <c r="E13">
        <v>90.010002136230398</v>
      </c>
      <c r="F13">
        <v>91.069999694824205</v>
      </c>
      <c r="G13">
        <v>91.069999694824205</v>
      </c>
      <c r="H13">
        <v>32423700</v>
      </c>
      <c r="I13" s="3">
        <f t="shared" si="0"/>
        <v>-7.9521060203234795E-3</v>
      </c>
      <c r="J13" s="6">
        <v>0</v>
      </c>
      <c r="K13">
        <f t="shared" ca="1" si="1"/>
        <v>93.905713762555777</v>
      </c>
      <c r="L13">
        <f t="shared" ca="1" si="2"/>
        <v>1.5268365191909003E-2</v>
      </c>
    </row>
    <row r="14" spans="1:22">
      <c r="A14" t="s">
        <v>12</v>
      </c>
      <c r="B14" s="1">
        <v>44981</v>
      </c>
      <c r="C14">
        <v>89.629997253417898</v>
      </c>
      <c r="D14">
        <v>90.129997253417898</v>
      </c>
      <c r="E14">
        <v>88.860000610351506</v>
      </c>
      <c r="F14">
        <v>89.349998474121094</v>
      </c>
      <c r="G14">
        <v>89.349998474121094</v>
      </c>
      <c r="H14">
        <v>31295600</v>
      </c>
      <c r="I14" s="3">
        <f t="shared" si="0"/>
        <v>-1.8886584237035708E-2</v>
      </c>
      <c r="J14" s="6">
        <v>0</v>
      </c>
      <c r="K14">
        <f t="shared" ca="1" si="1"/>
        <v>93.105713980538482</v>
      </c>
      <c r="L14">
        <f t="shared" ca="1" si="2"/>
        <v>1.5757092510564816E-2</v>
      </c>
    </row>
    <row r="15" spans="1:22">
      <c r="A15" t="s">
        <v>12</v>
      </c>
      <c r="B15" s="1">
        <v>44984</v>
      </c>
      <c r="C15">
        <v>90.089996337890597</v>
      </c>
      <c r="D15">
        <v>90.449996948242102</v>
      </c>
      <c r="E15">
        <v>89.610000610351506</v>
      </c>
      <c r="F15">
        <v>90.099998474121094</v>
      </c>
      <c r="G15">
        <v>90.099998474121094</v>
      </c>
      <c r="H15">
        <v>22724300</v>
      </c>
      <c r="I15" s="3">
        <f t="shared" si="0"/>
        <v>8.3939564947752565E-3</v>
      </c>
      <c r="J15" s="6">
        <v>0</v>
      </c>
      <c r="K15">
        <f t="shared" ca="1" si="1"/>
        <v>92.105713980538482</v>
      </c>
      <c r="L15">
        <f t="shared" ca="1" si="2"/>
        <v>1.136549315776457E-2</v>
      </c>
    </row>
    <row r="16" spans="1:22">
      <c r="A16" t="s">
        <v>12</v>
      </c>
      <c r="B16" s="1">
        <v>44985</v>
      </c>
      <c r="C16">
        <v>89.540000915527301</v>
      </c>
      <c r="D16">
        <v>91.449996948242102</v>
      </c>
      <c r="E16">
        <v>89.519996643066406</v>
      </c>
      <c r="F16">
        <v>90.300003051757798</v>
      </c>
      <c r="G16">
        <v>90.300003051757798</v>
      </c>
      <c r="H16">
        <v>30546900</v>
      </c>
      <c r="I16" s="3">
        <f t="shared" si="0"/>
        <v>2.2198066706311526E-3</v>
      </c>
      <c r="J16" s="6">
        <v>0</v>
      </c>
      <c r="K16">
        <f t="shared" ca="1" si="1"/>
        <v>91.32285744803292</v>
      </c>
      <c r="L16">
        <f t="shared" ca="1" si="2"/>
        <v>1.220616471046204E-2</v>
      </c>
    </row>
    <row r="17" spans="1:12">
      <c r="A17" t="s">
        <v>12</v>
      </c>
      <c r="B17" s="1">
        <v>44986</v>
      </c>
      <c r="C17">
        <v>90.160003662109304</v>
      </c>
      <c r="D17">
        <v>91.199996948242102</v>
      </c>
      <c r="E17">
        <v>89.849998474121094</v>
      </c>
      <c r="F17">
        <v>90.510002136230398</v>
      </c>
      <c r="G17">
        <v>90.510002136230398</v>
      </c>
      <c r="H17">
        <v>26323900</v>
      </c>
      <c r="I17" s="3">
        <f t="shared" si="0"/>
        <v>2.3255711780234556E-3</v>
      </c>
      <c r="J17" s="6">
        <v>0</v>
      </c>
      <c r="K17">
        <f t="shared" ca="1" si="1"/>
        <v>90.740001133510006</v>
      </c>
      <c r="L17">
        <f t="shared" ca="1" si="2"/>
        <v>1.264418207810355E-2</v>
      </c>
    </row>
    <row r="18" spans="1:12">
      <c r="A18" t="s">
        <v>12</v>
      </c>
      <c r="B18" s="1">
        <v>44987</v>
      </c>
      <c r="C18">
        <v>89.860000610351506</v>
      </c>
      <c r="D18">
        <v>92.480003356933594</v>
      </c>
      <c r="E18">
        <v>89.769996643066406</v>
      </c>
      <c r="F18">
        <v>92.309997558593693</v>
      </c>
      <c r="G18">
        <v>92.309997558593693</v>
      </c>
      <c r="H18">
        <v>23328600</v>
      </c>
      <c r="I18" s="3">
        <f t="shared" si="0"/>
        <v>1.9887254224721485E-2</v>
      </c>
      <c r="J18" s="6">
        <v>0</v>
      </c>
      <c r="K18">
        <f t="shared" ca="1" si="1"/>
        <v>90.777143205915152</v>
      </c>
      <c r="L18">
        <f t="shared" ca="1" si="2"/>
        <v>1.2261613870140412E-2</v>
      </c>
    </row>
    <row r="19" spans="1:12">
      <c r="A19" t="s">
        <v>12</v>
      </c>
      <c r="B19" s="1">
        <v>44988</v>
      </c>
      <c r="C19">
        <v>92.739997863769503</v>
      </c>
      <c r="D19">
        <v>94.110000610351506</v>
      </c>
      <c r="E19">
        <v>92.660003662109304</v>
      </c>
      <c r="F19">
        <v>94.019996643066406</v>
      </c>
      <c r="G19">
        <v>94.019996643066406</v>
      </c>
      <c r="H19">
        <v>30242500</v>
      </c>
      <c r="I19" s="3">
        <f t="shared" si="0"/>
        <v>1.8524527458548601E-2</v>
      </c>
      <c r="J19" s="6">
        <v>0</v>
      </c>
      <c r="K19">
        <f t="shared" ca="1" si="1"/>
        <v>91.09428514753067</v>
      </c>
      <c r="L19">
        <f t="shared" ca="1" si="2"/>
        <v>1.3865769473870141E-2</v>
      </c>
    </row>
    <row r="20" spans="1:12">
      <c r="A20" t="s">
        <v>12</v>
      </c>
      <c r="B20" s="1">
        <v>44991</v>
      </c>
      <c r="C20">
        <v>94.360000610351506</v>
      </c>
      <c r="D20">
        <v>96.300003051757798</v>
      </c>
      <c r="E20">
        <v>94.300003051757798</v>
      </c>
      <c r="F20">
        <v>95.580001831054602</v>
      </c>
      <c r="G20">
        <v>95.580001831054602</v>
      </c>
      <c r="H20">
        <v>28288200</v>
      </c>
      <c r="I20" s="3">
        <f t="shared" si="0"/>
        <v>1.6592270194504932E-2</v>
      </c>
      <c r="J20" s="6">
        <v>0</v>
      </c>
      <c r="K20">
        <f t="shared" ca="1" si="1"/>
        <v>91.738571166992159</v>
      </c>
      <c r="L20">
        <f t="shared" ca="1" si="2"/>
        <v>1.3587163871368569E-2</v>
      </c>
    </row>
    <row r="21" spans="1:12">
      <c r="A21" t="s">
        <v>12</v>
      </c>
      <c r="B21" s="1">
        <v>44992</v>
      </c>
      <c r="C21">
        <v>95.419998168945298</v>
      </c>
      <c r="D21">
        <v>96.089996337890597</v>
      </c>
      <c r="E21">
        <v>93.844001770019503</v>
      </c>
      <c r="F21">
        <v>94.169998168945298</v>
      </c>
      <c r="G21">
        <v>94.169998168945298</v>
      </c>
      <c r="H21">
        <v>24101500</v>
      </c>
      <c r="I21" s="3">
        <f t="shared" si="0"/>
        <v>-1.4752078207757258E-2</v>
      </c>
      <c r="J21" s="6">
        <v>0</v>
      </c>
      <c r="K21">
        <f t="shared" ca="1" si="1"/>
        <v>92.427142551967037</v>
      </c>
      <c r="L21">
        <f t="shared" ca="1" si="2"/>
        <v>1.2303080073802168E-2</v>
      </c>
    </row>
    <row r="22" spans="1:12">
      <c r="A22" t="s">
        <v>12</v>
      </c>
      <c r="B22" s="1">
        <v>44993</v>
      </c>
      <c r="C22">
        <v>94.404998779296804</v>
      </c>
      <c r="D22">
        <v>96.239997863769503</v>
      </c>
      <c r="E22">
        <v>94.404998779296804</v>
      </c>
      <c r="F22">
        <v>94.650001525878906</v>
      </c>
      <c r="G22">
        <v>94.650001525878906</v>
      </c>
      <c r="H22">
        <v>25395200</v>
      </c>
      <c r="I22" s="3">
        <f t="shared" si="0"/>
        <v>5.0972004488356593E-3</v>
      </c>
      <c r="J22" s="6">
        <v>0</v>
      </c>
      <c r="K22">
        <f t="shared" ca="1" si="1"/>
        <v>93.077142987932447</v>
      </c>
      <c r="L22">
        <f t="shared" ca="1" si="2"/>
        <v>1.2330635763838865E-2</v>
      </c>
    </row>
    <row r="23" spans="1:12">
      <c r="A23" t="s">
        <v>12</v>
      </c>
      <c r="B23" s="1">
        <v>44994</v>
      </c>
      <c r="C23">
        <v>94.489997863769503</v>
      </c>
      <c r="D23">
        <v>95.919998168945298</v>
      </c>
      <c r="E23">
        <v>92.355003356933594</v>
      </c>
      <c r="F23">
        <v>92.660003662109304</v>
      </c>
      <c r="G23">
        <v>92.660003662109304</v>
      </c>
      <c r="H23">
        <v>24438900</v>
      </c>
      <c r="I23" s="3">
        <f t="shared" si="0"/>
        <v>-2.1024805406109848E-2</v>
      </c>
      <c r="J23" s="6">
        <v>0</v>
      </c>
      <c r="K23">
        <f t="shared" ca="1" si="1"/>
        <v>93.414285932268371</v>
      </c>
      <c r="L23">
        <f t="shared" ca="1" si="2"/>
        <v>1.6348091205838154E-2</v>
      </c>
    </row>
    <row r="24" spans="1:12">
      <c r="A24" t="s">
        <v>12</v>
      </c>
      <c r="B24" s="1">
        <v>44995</v>
      </c>
      <c r="C24">
        <v>92.5</v>
      </c>
      <c r="D24">
        <v>93.180000305175696</v>
      </c>
      <c r="E24">
        <v>90.800003051757798</v>
      </c>
      <c r="F24">
        <v>91.010002136230398</v>
      </c>
      <c r="G24">
        <v>91.010002136230398</v>
      </c>
      <c r="H24">
        <v>32850100</v>
      </c>
      <c r="I24" s="3">
        <f t="shared" si="0"/>
        <v>-1.7807052241177845E-2</v>
      </c>
      <c r="J24" s="6">
        <v>0</v>
      </c>
      <c r="K24">
        <f t="shared" ca="1" si="1"/>
        <v>93.48571450369694</v>
      </c>
      <c r="L24">
        <f t="shared" ca="1" si="2"/>
        <v>1.8305897628144038E-2</v>
      </c>
    </row>
    <row r="25" spans="1:12">
      <c r="A25" t="s">
        <v>12</v>
      </c>
      <c r="B25" s="1">
        <v>44998</v>
      </c>
      <c r="C25">
        <v>90.565002441406193</v>
      </c>
      <c r="D25">
        <v>93.080001831054602</v>
      </c>
      <c r="E25">
        <v>89.940002441406193</v>
      </c>
      <c r="F25">
        <v>91.660003662109304</v>
      </c>
      <c r="G25">
        <v>91.660003662109304</v>
      </c>
      <c r="H25">
        <v>31508600</v>
      </c>
      <c r="I25" s="3">
        <f t="shared" si="0"/>
        <v>7.1420888981623687E-3</v>
      </c>
      <c r="J25" s="6">
        <v>0</v>
      </c>
      <c r="K25">
        <f t="shared" ca="1" si="1"/>
        <v>93.392858232770593</v>
      </c>
      <c r="L25">
        <f t="shared" ca="1" si="2"/>
        <v>1.6666677961952019E-2</v>
      </c>
    </row>
    <row r="26" spans="1:12">
      <c r="A26" t="s">
        <v>12</v>
      </c>
      <c r="B26" s="1">
        <v>44999</v>
      </c>
      <c r="C26">
        <v>93.069999694824205</v>
      </c>
      <c r="D26">
        <v>94.830001831054602</v>
      </c>
      <c r="E26">
        <v>92.779998779296804</v>
      </c>
      <c r="F26">
        <v>94.25</v>
      </c>
      <c r="G26">
        <v>94.25</v>
      </c>
      <c r="H26">
        <v>32303900</v>
      </c>
      <c r="I26" s="3">
        <f t="shared" si="0"/>
        <v>2.8256559397906278E-2</v>
      </c>
      <c r="J26" s="6">
        <v>0</v>
      </c>
      <c r="K26">
        <f t="shared" ca="1" si="1"/>
        <v>93.425715855189679</v>
      </c>
      <c r="L26">
        <f t="shared" ca="1" si="2"/>
        <v>1.882255138217731E-2</v>
      </c>
    </row>
    <row r="27" spans="1:12">
      <c r="A27" t="s">
        <v>12</v>
      </c>
      <c r="B27" s="1">
        <v>45000</v>
      </c>
      <c r="C27">
        <v>93.540000915527301</v>
      </c>
      <c r="D27">
        <v>97.25</v>
      </c>
      <c r="E27">
        <v>93.040000915527301</v>
      </c>
      <c r="F27">
        <v>96.550003051757798</v>
      </c>
      <c r="G27">
        <v>96.550003051757798</v>
      </c>
      <c r="H27">
        <v>38367300</v>
      </c>
      <c r="I27" s="3">
        <f t="shared" si="0"/>
        <v>2.4403215403265843E-2</v>
      </c>
      <c r="J27" s="6">
        <v>0</v>
      </c>
      <c r="K27">
        <f t="shared" ca="1" si="1"/>
        <v>93.564287458147291</v>
      </c>
      <c r="L27">
        <f t="shared" ca="1" si="2"/>
        <v>2.0122160323722944E-2</v>
      </c>
    </row>
    <row r="28" spans="1:12">
      <c r="A28" t="s">
        <v>12</v>
      </c>
      <c r="B28" s="1">
        <v>45001</v>
      </c>
      <c r="C28">
        <v>96.569999694824205</v>
      </c>
      <c r="D28">
        <v>101.970001220703</v>
      </c>
      <c r="E28">
        <v>95.870002746582003</v>
      </c>
      <c r="F28">
        <v>101.06999969482401</v>
      </c>
      <c r="G28">
        <v>101.06999969482401</v>
      </c>
      <c r="H28">
        <v>54499500</v>
      </c>
      <c r="I28" s="3">
        <f t="shared" si="0"/>
        <v>4.6815085450004235E-2</v>
      </c>
      <c r="J28" s="6">
        <v>0</v>
      </c>
      <c r="K28">
        <f t="shared" ca="1" si="1"/>
        <v>94.550001961844245</v>
      </c>
      <c r="L28">
        <f t="shared" ca="1" si="2"/>
        <v>2.4707941013786244E-2</v>
      </c>
    </row>
    <row r="29" spans="1:12">
      <c r="A29" t="s">
        <v>12</v>
      </c>
      <c r="B29" s="1">
        <v>45002</v>
      </c>
      <c r="C29">
        <v>100.83999633789</v>
      </c>
      <c r="D29">
        <v>103.48999786376901</v>
      </c>
      <c r="E29">
        <v>100.75</v>
      </c>
      <c r="F29">
        <v>102.459999084472</v>
      </c>
      <c r="G29">
        <v>102.459999084472</v>
      </c>
      <c r="H29">
        <v>76140300</v>
      </c>
      <c r="I29" s="3">
        <f t="shared" si="0"/>
        <v>1.3752838565796344E-2</v>
      </c>
      <c r="J29" s="6">
        <v>0</v>
      </c>
      <c r="K29">
        <f t="shared" ca="1" si="1"/>
        <v>95.665715898786104</v>
      </c>
      <c r="L29">
        <f t="shared" ca="1" si="2"/>
        <v>2.4614052760076537E-2</v>
      </c>
    </row>
    <row r="30" spans="1:12">
      <c r="A30" t="s">
        <v>12</v>
      </c>
      <c r="B30" s="1">
        <v>45005</v>
      </c>
      <c r="C30">
        <v>101.059997558593</v>
      </c>
      <c r="D30">
        <v>102.58000183105401</v>
      </c>
      <c r="E30">
        <v>100.790000915527</v>
      </c>
      <c r="F30">
        <v>101.930000305175</v>
      </c>
      <c r="G30">
        <v>101.930000305175</v>
      </c>
      <c r="H30">
        <v>26033900</v>
      </c>
      <c r="I30" s="3">
        <f t="shared" si="0"/>
        <v>-5.172738473870675E-3</v>
      </c>
      <c r="J30" s="6">
        <v>0</v>
      </c>
      <c r="K30">
        <f t="shared" ca="1" si="1"/>
        <v>96.990001133509779</v>
      </c>
      <c r="L30">
        <f t="shared" ca="1" si="2"/>
        <v>2.1658822522372875E-2</v>
      </c>
    </row>
    <row r="31" spans="1:12">
      <c r="A31" t="s">
        <v>12</v>
      </c>
      <c r="B31" s="1">
        <v>45006</v>
      </c>
      <c r="C31">
        <v>101.980003356933</v>
      </c>
      <c r="D31">
        <v>105.959999084472</v>
      </c>
      <c r="E31">
        <v>101.86000061035099</v>
      </c>
      <c r="F31">
        <v>105.83999633789</v>
      </c>
      <c r="G31">
        <v>105.83999633789</v>
      </c>
      <c r="H31">
        <v>33122800</v>
      </c>
      <c r="I31" s="3">
        <f t="shared" si="0"/>
        <v>3.8359619552718494E-2</v>
      </c>
      <c r="J31" s="6">
        <v>0</v>
      </c>
      <c r="K31">
        <f t="shared" ca="1" si="1"/>
        <v>99.108571733746885</v>
      </c>
      <c r="L31">
        <f t="shared" ca="1" si="2"/>
        <v>1.8052924187269052E-2</v>
      </c>
    </row>
    <row r="32" spans="1:12">
      <c r="A32" t="s">
        <v>12</v>
      </c>
      <c r="B32" s="1">
        <v>45007</v>
      </c>
      <c r="C32">
        <v>105.139999389648</v>
      </c>
      <c r="D32">
        <v>107.51000213623</v>
      </c>
      <c r="E32">
        <v>104.209999084472</v>
      </c>
      <c r="F32">
        <v>104.220001220703</v>
      </c>
      <c r="G32">
        <v>104.220001220703</v>
      </c>
      <c r="H32">
        <v>32336900</v>
      </c>
      <c r="I32" s="3">
        <f t="shared" si="0"/>
        <v>-1.5306076844666894E-2</v>
      </c>
      <c r="J32" s="6">
        <v>0</v>
      </c>
      <c r="K32">
        <f t="shared" ca="1" si="1"/>
        <v>100.90285709926026</v>
      </c>
      <c r="L32">
        <f t="shared" ca="1" si="2"/>
        <v>2.2552170127065105E-2</v>
      </c>
    </row>
    <row r="33" spans="1:12">
      <c r="A33" t="s">
        <v>12</v>
      </c>
      <c r="B33" s="1">
        <v>45008</v>
      </c>
      <c r="C33">
        <v>105.889999389648</v>
      </c>
      <c r="D33">
        <v>107.10099792480401</v>
      </c>
      <c r="E33">
        <v>105.41000366210901</v>
      </c>
      <c r="F33">
        <v>106.26000213623</v>
      </c>
      <c r="G33">
        <v>106.26000213623</v>
      </c>
      <c r="H33">
        <v>31385800</v>
      </c>
      <c r="I33" s="3">
        <f t="shared" si="0"/>
        <v>1.9573986678497191E-2</v>
      </c>
      <c r="J33" s="6">
        <v>0</v>
      </c>
      <c r="K33">
        <f t="shared" ca="1" si="1"/>
        <v>102.61857169015025</v>
      </c>
      <c r="L33">
        <f t="shared" ca="1" si="2"/>
        <v>2.2176511407977703E-2</v>
      </c>
    </row>
    <row r="34" spans="1:12">
      <c r="A34" t="s">
        <v>12</v>
      </c>
      <c r="B34" s="1">
        <v>45009</v>
      </c>
      <c r="C34">
        <v>105.73999786376901</v>
      </c>
      <c r="D34">
        <v>106.16000366210901</v>
      </c>
      <c r="E34">
        <v>104.73999786376901</v>
      </c>
      <c r="F34">
        <v>106.059997558593</v>
      </c>
      <c r="G34">
        <v>106.059997558593</v>
      </c>
      <c r="H34">
        <v>25245000</v>
      </c>
      <c r="I34" s="3">
        <f t="shared" si="0"/>
        <v>-1.8822188369673754E-3</v>
      </c>
      <c r="J34" s="6">
        <v>0</v>
      </c>
      <c r="K34">
        <f t="shared" ca="1" si="1"/>
        <v>103.97714233398385</v>
      </c>
      <c r="L34">
        <f t="shared" ca="1" si="2"/>
        <v>2.3020071911775117E-2</v>
      </c>
    </row>
    <row r="35" spans="1:12">
      <c r="A35" t="s">
        <v>12</v>
      </c>
      <c r="B35" s="1">
        <v>45012</v>
      </c>
      <c r="C35">
        <v>105.31999969482401</v>
      </c>
      <c r="D35">
        <v>105.400001525878</v>
      </c>
      <c r="E35">
        <v>102.629997253417</v>
      </c>
      <c r="F35">
        <v>103.059997558593</v>
      </c>
      <c r="G35">
        <v>103.059997558593</v>
      </c>
      <c r="H35">
        <v>25393400</v>
      </c>
      <c r="I35" s="3">
        <f t="shared" si="0"/>
        <v>-2.8285876570406709E-2</v>
      </c>
      <c r="J35" s="6">
        <v>0</v>
      </c>
      <c r="K35">
        <f t="shared" ca="1" si="1"/>
        <v>104.26142774309371</v>
      </c>
      <c r="L35">
        <f t="shared" ca="1" si="2"/>
        <v>2.2528394233472086E-2</v>
      </c>
    </row>
    <row r="36" spans="1:12">
      <c r="A36" t="s">
        <v>12</v>
      </c>
      <c r="B36" s="1">
        <v>45013</v>
      </c>
      <c r="C36">
        <v>103</v>
      </c>
      <c r="D36">
        <v>103</v>
      </c>
      <c r="E36">
        <v>100.27999877929599</v>
      </c>
      <c r="F36">
        <v>101.36000061035099</v>
      </c>
      <c r="G36">
        <v>101.36000061035099</v>
      </c>
      <c r="H36">
        <v>24913500</v>
      </c>
      <c r="I36" s="3">
        <f t="shared" si="0"/>
        <v>-1.6495216267354396E-2</v>
      </c>
      <c r="J36" s="6">
        <v>0</v>
      </c>
      <c r="K36">
        <f t="shared" ca="1" si="1"/>
        <v>104.10428510393356</v>
      </c>
      <c r="L36">
        <f t="shared" ca="1" si="2"/>
        <v>2.3019001074661101E-2</v>
      </c>
    </row>
    <row r="37" spans="1:12">
      <c r="A37" t="s">
        <v>12</v>
      </c>
      <c r="B37" s="1">
        <v>45014</v>
      </c>
      <c r="C37">
        <v>102.720001220703</v>
      </c>
      <c r="D37">
        <v>102.81999969482401</v>
      </c>
      <c r="E37">
        <v>101.02999877929599</v>
      </c>
      <c r="F37">
        <v>101.900001525878</v>
      </c>
      <c r="G37">
        <v>101.900001525878</v>
      </c>
      <c r="H37">
        <v>26148300</v>
      </c>
      <c r="I37" s="3">
        <f t="shared" si="0"/>
        <v>5.3275543831425853E-3</v>
      </c>
      <c r="J37" s="6">
        <v>0</v>
      </c>
      <c r="K37">
        <f t="shared" ca="1" si="1"/>
        <v>104.09999956403399</v>
      </c>
      <c r="L37">
        <f t="shared" ca="1" si="2"/>
        <v>2.3067825823894383E-2</v>
      </c>
    </row>
    <row r="38" spans="1:12">
      <c r="A38" t="s">
        <v>12</v>
      </c>
      <c r="B38" s="1">
        <v>45015</v>
      </c>
      <c r="C38">
        <v>101.44000244140599</v>
      </c>
      <c r="D38">
        <v>101.61000061035099</v>
      </c>
      <c r="E38">
        <v>100.290000915527</v>
      </c>
      <c r="F38">
        <v>101.31999969482401</v>
      </c>
      <c r="G38">
        <v>101.31999969482401</v>
      </c>
      <c r="H38">
        <v>25009800</v>
      </c>
      <c r="I38" s="3">
        <f t="shared" si="0"/>
        <v>-5.6918726434630473E-3</v>
      </c>
      <c r="J38" s="6">
        <v>0</v>
      </c>
      <c r="K38">
        <f t="shared" ca="1" si="1"/>
        <v>103.45428575788171</v>
      </c>
      <c r="L38">
        <f t="shared" ca="1" si="2"/>
        <v>1.5772992840291811E-2</v>
      </c>
    </row>
    <row r="39" spans="1:12">
      <c r="A39" t="s">
        <v>12</v>
      </c>
      <c r="B39" s="1">
        <v>45016</v>
      </c>
      <c r="C39">
        <v>101.709999084472</v>
      </c>
      <c r="D39">
        <v>104.19000244140599</v>
      </c>
      <c r="E39">
        <v>101.44000244140599</v>
      </c>
      <c r="F39">
        <v>104</v>
      </c>
      <c r="G39">
        <v>104</v>
      </c>
      <c r="H39">
        <v>28086500</v>
      </c>
      <c r="I39" s="3">
        <f t="shared" si="0"/>
        <v>2.6450851887565685E-2</v>
      </c>
      <c r="J39" s="6">
        <v>0</v>
      </c>
      <c r="K39">
        <f t="shared" ca="1" si="1"/>
        <v>103.422857012067</v>
      </c>
      <c r="L39">
        <f t="shared" ca="1" si="2"/>
        <v>1.9231704877562723E-2</v>
      </c>
    </row>
    <row r="40" spans="1:12">
      <c r="A40" t="s">
        <v>12</v>
      </c>
      <c r="B40" s="1">
        <v>45019</v>
      </c>
      <c r="C40">
        <v>102.669998168945</v>
      </c>
      <c r="D40">
        <v>104.949996948242</v>
      </c>
      <c r="E40">
        <v>102.379997253417</v>
      </c>
      <c r="F40">
        <v>104.91000366210901</v>
      </c>
      <c r="G40">
        <v>104.91000366210901</v>
      </c>
      <c r="H40">
        <v>20719900</v>
      </c>
      <c r="I40" s="3">
        <f t="shared" si="0"/>
        <v>8.7500352125866598E-3</v>
      </c>
      <c r="J40" s="6">
        <v>0</v>
      </c>
      <c r="K40">
        <f t="shared" ca="1" si="1"/>
        <v>103.23000008719258</v>
      </c>
      <c r="L40">
        <f t="shared" ca="1" si="2"/>
        <v>1.7761076169581051E-2</v>
      </c>
    </row>
    <row r="41" spans="1:12">
      <c r="A41" t="s">
        <v>12</v>
      </c>
      <c r="B41" s="1">
        <v>45020</v>
      </c>
      <c r="C41">
        <v>104.83999633789</v>
      </c>
      <c r="D41">
        <v>106.09999847412099</v>
      </c>
      <c r="E41">
        <v>104.59999847412099</v>
      </c>
      <c r="F41">
        <v>105.120002746582</v>
      </c>
      <c r="G41">
        <v>105.120002746582</v>
      </c>
      <c r="H41">
        <v>20377200</v>
      </c>
      <c r="I41" s="3">
        <f t="shared" si="0"/>
        <v>2.0017069597038084E-3</v>
      </c>
      <c r="J41" s="6">
        <v>0</v>
      </c>
      <c r="K41">
        <f t="shared" ca="1" si="1"/>
        <v>103.09571511404815</v>
      </c>
      <c r="L41">
        <f t="shared" ca="1" si="2"/>
        <v>1.7814638714421818E-2</v>
      </c>
    </row>
    <row r="42" spans="1:12">
      <c r="A42" t="s">
        <v>12</v>
      </c>
      <c r="B42" s="1">
        <v>45021</v>
      </c>
      <c r="C42">
        <v>106.120002746582</v>
      </c>
      <c r="D42">
        <v>106.540000915527</v>
      </c>
      <c r="E42">
        <v>104.101997375488</v>
      </c>
      <c r="F42">
        <v>104.949996948242</v>
      </c>
      <c r="G42">
        <v>104.949996948242</v>
      </c>
      <c r="H42">
        <v>21864200</v>
      </c>
      <c r="I42" s="3">
        <f t="shared" si="0"/>
        <v>-1.6172545081628575E-3</v>
      </c>
      <c r="J42" s="6">
        <v>0</v>
      </c>
      <c r="K42">
        <f t="shared" ca="1" si="1"/>
        <v>103.36571502685514</v>
      </c>
      <c r="L42">
        <f t="shared" ca="1" si="2"/>
        <v>1.3326738487758375E-2</v>
      </c>
    </row>
    <row r="43" spans="1:12">
      <c r="A43" t="s">
        <v>12</v>
      </c>
      <c r="B43" s="1">
        <v>45022</v>
      </c>
      <c r="C43">
        <v>105.76999664306599</v>
      </c>
      <c r="D43">
        <v>109.629997253417</v>
      </c>
      <c r="E43">
        <v>104.81500244140599</v>
      </c>
      <c r="F43">
        <v>108.900001525878</v>
      </c>
      <c r="G43">
        <v>108.900001525878</v>
      </c>
      <c r="H43">
        <v>34684200</v>
      </c>
      <c r="I43" s="3">
        <f t="shared" si="0"/>
        <v>3.7637014697427862E-2</v>
      </c>
      <c r="J43" s="6">
        <v>0</v>
      </c>
      <c r="K43">
        <f t="shared" ca="1" si="1"/>
        <v>104.44285801478757</v>
      </c>
      <c r="L43">
        <f t="shared" ca="1" si="2"/>
        <v>1.5821033047761848E-2</v>
      </c>
    </row>
    <row r="44" spans="1:12">
      <c r="A44" t="s">
        <v>12</v>
      </c>
      <c r="B44" s="1">
        <v>45026</v>
      </c>
      <c r="C44">
        <v>107.389999389648</v>
      </c>
      <c r="D44">
        <v>107.970001220703</v>
      </c>
      <c r="E44">
        <v>105.59999847412099</v>
      </c>
      <c r="F44">
        <v>106.949996948242</v>
      </c>
      <c r="G44">
        <v>106.949996948242</v>
      </c>
      <c r="H44">
        <v>19741500</v>
      </c>
      <c r="I44" s="3">
        <f t="shared" si="0"/>
        <v>-1.7906377872479728E-2</v>
      </c>
      <c r="J44" s="6">
        <v>0</v>
      </c>
      <c r="K44">
        <f t="shared" ca="1" si="1"/>
        <v>105.16428593226814</v>
      </c>
      <c r="L44">
        <f t="shared" ca="1" si="2"/>
        <v>1.9151242722205364E-2</v>
      </c>
    </row>
    <row r="45" spans="1:12">
      <c r="A45" t="s">
        <v>12</v>
      </c>
      <c r="B45" s="1">
        <v>45027</v>
      </c>
      <c r="C45">
        <v>106.919998168945</v>
      </c>
      <c r="D45">
        <v>107.220001220703</v>
      </c>
      <c r="E45">
        <v>105.27999877929599</v>
      </c>
      <c r="F45">
        <v>106.120002746582</v>
      </c>
      <c r="G45">
        <v>106.120002746582</v>
      </c>
      <c r="H45">
        <v>18721300</v>
      </c>
      <c r="I45" s="3">
        <f t="shared" si="0"/>
        <v>-7.7605818171427865E-3</v>
      </c>
      <c r="J45" s="6">
        <v>0</v>
      </c>
      <c r="K45">
        <f t="shared" ca="1" si="1"/>
        <v>105.85000065394786</v>
      </c>
      <c r="L45">
        <f t="shared" ca="1" si="2"/>
        <v>1.9395743727421727E-2</v>
      </c>
    </row>
    <row r="46" spans="1:12">
      <c r="A46" t="s">
        <v>12</v>
      </c>
      <c r="B46" s="1">
        <v>45028</v>
      </c>
      <c r="C46">
        <v>107.389999389648</v>
      </c>
      <c r="D46">
        <v>107.58699798583901</v>
      </c>
      <c r="E46">
        <v>104.970001220703</v>
      </c>
      <c r="F46">
        <v>105.220001220703</v>
      </c>
      <c r="G46">
        <v>105.220001220703</v>
      </c>
      <c r="H46">
        <v>22761600</v>
      </c>
      <c r="I46" s="3">
        <f t="shared" si="0"/>
        <v>-8.4809791046485117E-3</v>
      </c>
      <c r="J46" s="6">
        <v>0</v>
      </c>
      <c r="K46">
        <f t="shared" ca="1" si="1"/>
        <v>106.02428654261972</v>
      </c>
      <c r="L46">
        <f t="shared" ca="1" si="2"/>
        <v>1.7933940966392111E-2</v>
      </c>
    </row>
    <row r="47" spans="1:12">
      <c r="A47" t="s">
        <v>12</v>
      </c>
      <c r="B47" s="1">
        <v>45029</v>
      </c>
      <c r="C47">
        <v>106.470001220703</v>
      </c>
      <c r="D47">
        <v>108.264999389648</v>
      </c>
      <c r="E47">
        <v>106.44000244140599</v>
      </c>
      <c r="F47">
        <v>108.19000244140599</v>
      </c>
      <c r="G47">
        <v>108.19000244140599</v>
      </c>
      <c r="H47">
        <v>21650700</v>
      </c>
      <c r="I47" s="3">
        <f t="shared" si="0"/>
        <v>2.8226584168853153E-2</v>
      </c>
      <c r="J47" s="6">
        <v>0</v>
      </c>
      <c r="K47">
        <f t="shared" ca="1" si="1"/>
        <v>106.492857796805</v>
      </c>
      <c r="L47">
        <f t="shared" ca="1" si="2"/>
        <v>2.0516240789204002E-2</v>
      </c>
    </row>
    <row r="48" spans="1:12">
      <c r="A48" t="s">
        <v>12</v>
      </c>
      <c r="B48" s="1">
        <v>45030</v>
      </c>
      <c r="C48">
        <v>107.69000244140599</v>
      </c>
      <c r="D48">
        <v>109.58000183105401</v>
      </c>
      <c r="E48">
        <v>107.58999633789</v>
      </c>
      <c r="F48">
        <v>109.459999084472</v>
      </c>
      <c r="G48">
        <v>109.459999084472</v>
      </c>
      <c r="H48">
        <v>20745400</v>
      </c>
      <c r="I48" s="3">
        <f t="shared" si="0"/>
        <v>1.1738576711409321E-2</v>
      </c>
      <c r="J48" s="6">
        <v>0</v>
      </c>
      <c r="K48">
        <f t="shared" ca="1" si="1"/>
        <v>107.11285727364644</v>
      </c>
      <c r="L48">
        <f t="shared" ca="1" si="2"/>
        <v>2.0641540018676064E-2</v>
      </c>
    </row>
    <row r="49" spans="1:12">
      <c r="A49" t="s">
        <v>12</v>
      </c>
      <c r="B49" s="1">
        <v>45033</v>
      </c>
      <c r="C49">
        <v>105.430000305175</v>
      </c>
      <c r="D49">
        <v>106.709999084472</v>
      </c>
      <c r="E49">
        <v>105.31999969482401</v>
      </c>
      <c r="F49">
        <v>106.419998168945</v>
      </c>
      <c r="G49">
        <v>106.419998168945</v>
      </c>
      <c r="H49">
        <v>29043400</v>
      </c>
      <c r="I49" s="3">
        <f t="shared" si="0"/>
        <v>-2.7772710953350099E-2</v>
      </c>
      <c r="J49" s="6">
        <v>0</v>
      </c>
      <c r="K49">
        <f t="shared" ca="1" si="1"/>
        <v>107.32285744803256</v>
      </c>
      <c r="L49">
        <f t="shared" ca="1" si="2"/>
        <v>2.4290137076800347E-2</v>
      </c>
    </row>
    <row r="50" spans="1:12">
      <c r="A50" t="s">
        <v>12</v>
      </c>
      <c r="B50" s="1">
        <v>45034</v>
      </c>
      <c r="C50">
        <v>107</v>
      </c>
      <c r="D50">
        <v>107.050003051757</v>
      </c>
      <c r="E50">
        <v>104.77999877929599</v>
      </c>
      <c r="F50">
        <v>105.120002746582</v>
      </c>
      <c r="G50">
        <v>105.120002746582</v>
      </c>
      <c r="H50">
        <v>17641400</v>
      </c>
      <c r="I50" s="3">
        <f t="shared" si="0"/>
        <v>-1.2215706114739988E-2</v>
      </c>
      <c r="J50" s="6">
        <v>0</v>
      </c>
      <c r="K50">
        <f t="shared" ca="1" si="1"/>
        <v>106.78285762241886</v>
      </c>
      <c r="L50">
        <f t="shared" ca="1" si="2"/>
        <v>1.8890311056764329E-2</v>
      </c>
    </row>
    <row r="51" spans="1:12">
      <c r="A51" t="s">
        <v>12</v>
      </c>
      <c r="B51" s="1">
        <v>45035</v>
      </c>
      <c r="C51">
        <v>104.21499633789</v>
      </c>
      <c r="D51">
        <v>105.72499847412099</v>
      </c>
      <c r="E51">
        <v>103.800003051757</v>
      </c>
      <c r="F51">
        <v>105.01999664306599</v>
      </c>
      <c r="G51">
        <v>105.01999664306599</v>
      </c>
      <c r="H51">
        <v>16732000</v>
      </c>
      <c r="I51" s="3">
        <f t="shared" si="0"/>
        <v>-9.5135179702288131E-4</v>
      </c>
      <c r="J51" s="6">
        <v>0</v>
      </c>
      <c r="K51">
        <f t="shared" ca="1" si="1"/>
        <v>106.50714329310799</v>
      </c>
      <c r="L51">
        <f t="shared" ca="1" si="2"/>
        <v>1.800832002376189E-2</v>
      </c>
    </row>
    <row r="52" spans="1:12">
      <c r="A52" t="s">
        <v>12</v>
      </c>
      <c r="B52" s="1">
        <v>45036</v>
      </c>
      <c r="C52">
        <v>104.650001525878</v>
      </c>
      <c r="D52">
        <v>106.88800048828099</v>
      </c>
      <c r="E52">
        <v>104.639999389648</v>
      </c>
      <c r="F52">
        <v>105.900001525878</v>
      </c>
      <c r="G52">
        <v>105.900001525878</v>
      </c>
      <c r="H52">
        <v>22515300</v>
      </c>
      <c r="I52" s="3">
        <f t="shared" si="0"/>
        <v>8.379403075043923E-3</v>
      </c>
      <c r="J52" s="6">
        <v>0</v>
      </c>
      <c r="K52">
        <f t="shared" ca="1" si="1"/>
        <v>106.47571454729314</v>
      </c>
      <c r="L52">
        <f t="shared" ca="1" si="2"/>
        <v>1.8248114999421597E-2</v>
      </c>
    </row>
    <row r="53" spans="1:12">
      <c r="A53" t="s">
        <v>12</v>
      </c>
      <c r="B53" s="1">
        <v>45037</v>
      </c>
      <c r="C53">
        <v>106.08999633789</v>
      </c>
      <c r="D53">
        <v>106.639999389648</v>
      </c>
      <c r="E53">
        <v>105.48500061035099</v>
      </c>
      <c r="F53">
        <v>105.91000366210901</v>
      </c>
      <c r="G53">
        <v>105.91000366210901</v>
      </c>
      <c r="H53">
        <v>22369800</v>
      </c>
      <c r="I53" s="3">
        <f t="shared" si="0"/>
        <v>9.4448877118846752E-5</v>
      </c>
      <c r="J53" s="6">
        <v>0</v>
      </c>
      <c r="K53">
        <f t="shared" ca="1" si="1"/>
        <v>106.57428632463686</v>
      </c>
      <c r="L53">
        <f t="shared" ca="1" si="2"/>
        <v>1.7880042314732926E-2</v>
      </c>
    </row>
    <row r="54" spans="1:12">
      <c r="A54" t="s">
        <v>12</v>
      </c>
      <c r="B54" s="1">
        <v>45040</v>
      </c>
      <c r="C54">
        <v>106.050003051757</v>
      </c>
      <c r="D54">
        <v>107.31999969482401</v>
      </c>
      <c r="E54">
        <v>105.36000061035099</v>
      </c>
      <c r="F54">
        <v>106.77999877929599</v>
      </c>
      <c r="G54">
        <v>106.77999877929599</v>
      </c>
      <c r="H54">
        <v>21410900</v>
      </c>
      <c r="I54" s="3">
        <f t="shared" si="0"/>
        <v>8.214475376307151E-3</v>
      </c>
      <c r="J54" s="6">
        <v>0</v>
      </c>
      <c r="K54">
        <f t="shared" ca="1" si="1"/>
        <v>106.37285723004972</v>
      </c>
      <c r="L54">
        <f t="shared" ca="1" si="2"/>
        <v>1.3991543441215632E-2</v>
      </c>
    </row>
    <row r="55" spans="1:12">
      <c r="A55" t="s">
        <v>12</v>
      </c>
      <c r="B55" s="1">
        <v>45041</v>
      </c>
      <c r="C55">
        <v>106.61000061035099</v>
      </c>
      <c r="D55">
        <v>107.44000244140599</v>
      </c>
      <c r="E55">
        <v>104.559997558593</v>
      </c>
      <c r="F55">
        <v>104.61000061035099</v>
      </c>
      <c r="G55">
        <v>104.61000061035099</v>
      </c>
      <c r="H55">
        <v>31408100</v>
      </c>
      <c r="I55" s="3">
        <f t="shared" si="0"/>
        <v>-2.0322140791836696E-2</v>
      </c>
      <c r="J55" s="6">
        <v>0</v>
      </c>
      <c r="K55">
        <f t="shared" ca="1" si="1"/>
        <v>105.68000030517528</v>
      </c>
      <c r="L55">
        <f t="shared" ca="1" si="2"/>
        <v>1.4073101831785485E-2</v>
      </c>
    </row>
    <row r="56" spans="1:12">
      <c r="A56" t="s">
        <v>12</v>
      </c>
      <c r="B56" s="1">
        <v>45042</v>
      </c>
      <c r="C56">
        <v>105.559997558593</v>
      </c>
      <c r="D56">
        <v>107.01999664306599</v>
      </c>
      <c r="E56">
        <v>103.26999664306599</v>
      </c>
      <c r="F56">
        <v>104.449996948242</v>
      </c>
      <c r="G56">
        <v>104.449996948242</v>
      </c>
      <c r="H56">
        <v>37068200</v>
      </c>
      <c r="I56" s="3">
        <f t="shared" si="0"/>
        <v>-1.5295254868123997E-3</v>
      </c>
      <c r="J56" s="6">
        <v>0</v>
      </c>
      <c r="K56">
        <f t="shared" ca="1" si="1"/>
        <v>105.39857155936056</v>
      </c>
      <c r="L56">
        <f t="shared" ca="1" si="2"/>
        <v>1.0449544090237765E-2</v>
      </c>
    </row>
    <row r="57" spans="1:12">
      <c r="A57" t="s">
        <v>12</v>
      </c>
      <c r="B57" s="1">
        <v>45043</v>
      </c>
      <c r="C57">
        <v>105.230003356933</v>
      </c>
      <c r="D57">
        <v>109.150001525878</v>
      </c>
      <c r="E57">
        <v>104.419998168945</v>
      </c>
      <c r="F57">
        <v>108.370002746582</v>
      </c>
      <c r="G57">
        <v>108.370002746582</v>
      </c>
      <c r="H57">
        <v>38235200</v>
      </c>
      <c r="I57" s="3">
        <f t="shared" si="0"/>
        <v>3.752997523094681E-2</v>
      </c>
      <c r="J57" s="6">
        <v>0</v>
      </c>
      <c r="K57">
        <f t="shared" ca="1" si="1"/>
        <v>105.86285727364627</v>
      </c>
      <c r="L57">
        <f t="shared" ca="1" si="2"/>
        <v>1.7423381332031928E-2</v>
      </c>
    </row>
    <row r="58" spans="1:12">
      <c r="A58" t="s">
        <v>12</v>
      </c>
      <c r="B58" s="1">
        <v>45044</v>
      </c>
      <c r="C58">
        <v>107.800003051757</v>
      </c>
      <c r="D58">
        <v>108.290000915527</v>
      </c>
      <c r="E58">
        <v>106.040000915527</v>
      </c>
      <c r="F58">
        <v>108.220001220703</v>
      </c>
      <c r="G58">
        <v>108.220001220703</v>
      </c>
      <c r="H58">
        <v>23957900</v>
      </c>
      <c r="I58" s="3">
        <f t="shared" si="0"/>
        <v>-1.3841609493152607E-3</v>
      </c>
      <c r="J58" s="6">
        <v>0</v>
      </c>
      <c r="K58">
        <f t="shared" ca="1" si="1"/>
        <v>106.32000078473729</v>
      </c>
      <c r="L58">
        <f t="shared" ca="1" si="2"/>
        <v>1.7446652876092688E-2</v>
      </c>
    </row>
    <row r="59" spans="1:12">
      <c r="A59" t="s">
        <v>12</v>
      </c>
      <c r="B59" s="1">
        <v>45047</v>
      </c>
      <c r="C59">
        <v>107.720001220703</v>
      </c>
      <c r="D59">
        <v>108.680000305175</v>
      </c>
      <c r="E59">
        <v>107.5</v>
      </c>
      <c r="F59">
        <v>107.709999084472</v>
      </c>
      <c r="G59">
        <v>107.709999084472</v>
      </c>
      <c r="H59">
        <v>20926300</v>
      </c>
      <c r="I59" s="3">
        <f t="shared" si="0"/>
        <v>-4.7126421223272486E-3</v>
      </c>
      <c r="J59" s="6">
        <v>0</v>
      </c>
      <c r="K59">
        <f t="shared" ca="1" si="1"/>
        <v>106.57857186453643</v>
      </c>
      <c r="L59">
        <f t="shared" ca="1" si="2"/>
        <v>1.765274006975083E-2</v>
      </c>
    </row>
    <row r="60" spans="1:12">
      <c r="A60" t="s">
        <v>12</v>
      </c>
      <c r="B60" s="1">
        <v>45048</v>
      </c>
      <c r="C60">
        <v>107.66000366210901</v>
      </c>
      <c r="D60">
        <v>107.730003356933</v>
      </c>
      <c r="E60">
        <v>104.5</v>
      </c>
      <c r="F60">
        <v>105.980003356933</v>
      </c>
      <c r="G60">
        <v>105.980003356933</v>
      </c>
      <c r="H60">
        <v>20343100</v>
      </c>
      <c r="I60" s="3">
        <f t="shared" si="0"/>
        <v>-1.6061607485320373E-2</v>
      </c>
      <c r="J60" s="6">
        <v>0</v>
      </c>
      <c r="K60">
        <f t="shared" ca="1" si="1"/>
        <v>106.58857182093985</v>
      </c>
      <c r="L60">
        <f t="shared" ca="1" si="2"/>
        <v>1.9030571508637465E-2</v>
      </c>
    </row>
    <row r="61" spans="1:12">
      <c r="A61" t="s">
        <v>12</v>
      </c>
      <c r="B61" s="1">
        <v>45049</v>
      </c>
      <c r="C61">
        <v>106.220001220703</v>
      </c>
      <c r="D61">
        <v>108.129997253417</v>
      </c>
      <c r="E61">
        <v>105.620002746582</v>
      </c>
      <c r="F61">
        <v>106.120002746582</v>
      </c>
      <c r="G61">
        <v>106.120002746582</v>
      </c>
      <c r="H61">
        <v>17116300</v>
      </c>
      <c r="I61" s="3">
        <f t="shared" si="0"/>
        <v>1.32099816205411E-3</v>
      </c>
      <c r="J61" s="6">
        <v>0</v>
      </c>
      <c r="K61">
        <f t="shared" ca="1" si="1"/>
        <v>106.49428667340929</v>
      </c>
      <c r="L61">
        <f t="shared" ca="1" si="2"/>
        <v>1.8725520590898482E-2</v>
      </c>
    </row>
    <row r="62" spans="1:12">
      <c r="A62" t="s">
        <v>12</v>
      </c>
      <c r="B62" s="1">
        <v>45050</v>
      </c>
      <c r="C62">
        <v>106.16000366210901</v>
      </c>
      <c r="D62">
        <v>106.300003051757</v>
      </c>
      <c r="E62">
        <v>104.699996948242</v>
      </c>
      <c r="F62">
        <v>105.209999084472</v>
      </c>
      <c r="G62">
        <v>105.209999084472</v>
      </c>
      <c r="H62">
        <v>19780600</v>
      </c>
      <c r="I62" s="3">
        <f t="shared" si="0"/>
        <v>-8.5752321763797879E-3</v>
      </c>
      <c r="J62" s="6">
        <v>0</v>
      </c>
      <c r="K62">
        <f t="shared" ca="1" si="1"/>
        <v>106.58000074114086</v>
      </c>
      <c r="L62">
        <f t="shared" ca="1" si="2"/>
        <v>1.7136794633986596E-2</v>
      </c>
    </row>
    <row r="63" spans="1:12">
      <c r="A63" t="s">
        <v>12</v>
      </c>
      <c r="B63" s="1">
        <v>45051</v>
      </c>
      <c r="C63">
        <v>105.31999969482401</v>
      </c>
      <c r="D63">
        <v>106.44000244140599</v>
      </c>
      <c r="E63">
        <v>104.738998413085</v>
      </c>
      <c r="F63">
        <v>106.21499633789</v>
      </c>
      <c r="G63">
        <v>106.21499633789</v>
      </c>
      <c r="H63">
        <v>20705300</v>
      </c>
      <c r="I63" s="3">
        <f t="shared" si="0"/>
        <v>9.5522979009923237E-3</v>
      </c>
      <c r="J63" s="6">
        <v>0</v>
      </c>
      <c r="K63">
        <f t="shared" ca="1" si="1"/>
        <v>106.83214351109056</v>
      </c>
      <c r="L63">
        <f t="shared" ca="1" si="2"/>
        <v>1.7380654753748222E-2</v>
      </c>
    </row>
  </sheetData>
  <sortState xmlns:xlrd2="http://schemas.microsoft.com/office/spreadsheetml/2017/richdata2" ref="A2:L63">
    <sortCondition ref="B2:B6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5F97-5739-4458-BC3C-D64CD4251C8A}">
  <dimension ref="A2:E7"/>
  <sheetViews>
    <sheetView topLeftCell="B1" workbookViewId="0">
      <selection activeCell="C9" sqref="C9"/>
    </sheetView>
  </sheetViews>
  <sheetFormatPr defaultRowHeight="15"/>
  <cols>
    <col min="1" max="1" width="15.28515625" bestFit="1" customWidth="1"/>
    <col min="3" max="3" width="9.42578125" bestFit="1" customWidth="1"/>
  </cols>
  <sheetData>
    <row r="2" spans="1: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</row>
    <row r="3" spans="1:5">
      <c r="A3" t="s">
        <v>16</v>
      </c>
      <c r="B3" s="4" cm="1">
        <f t="array" aca="1" ref="B3:B7" ca="1">Apple!W1:W5</f>
        <v>2.0165498394367981E-3</v>
      </c>
      <c r="C3" s="4" cm="1">
        <f t="array" aca="1" ref="C3:C7" ca="1">msft!V1:V5</f>
        <v>2.6465147231257056E-3</v>
      </c>
      <c r="D3" s="4" cm="1">
        <f t="array" aca="1" ref="D3:D7" ca="1">nflx!V1:V5</f>
        <v>-1.6763957898093052E-3</v>
      </c>
      <c r="E3" s="4" cm="1">
        <f t="array" aca="1" ref="E3:E7" ca="1">google!V1:V5</f>
        <v>-6.6809074976283025E-5</v>
      </c>
    </row>
    <row r="4" spans="1:5">
      <c r="A4" t="s">
        <v>17</v>
      </c>
      <c r="B4" s="4">
        <f ca="1"/>
        <v>1.3260070624251901E-2</v>
      </c>
      <c r="C4" s="4">
        <f ca="1"/>
        <v>1.7351967793493493E-2</v>
      </c>
      <c r="D4" s="4">
        <f ca="1"/>
        <v>2.1235413126833531E-2</v>
      </c>
      <c r="E4" s="4">
        <f ca="1"/>
        <v>1.8307489145445967E-2</v>
      </c>
    </row>
    <row r="5" spans="1:5">
      <c r="A5" t="s">
        <v>18</v>
      </c>
      <c r="B5" s="4">
        <f ca="1"/>
        <v>4.6926921727167947E-2</v>
      </c>
      <c r="C5" s="4">
        <f ca="1"/>
        <v>7.2434756796232458E-2</v>
      </c>
      <c r="D5" s="4">
        <f ca="1"/>
        <v>9.0064653863266564E-2</v>
      </c>
      <c r="E5" s="4">
        <f ca="1"/>
        <v>4.6815085450004235E-2</v>
      </c>
    </row>
    <row r="6" spans="1:5">
      <c r="A6" t="s">
        <v>19</v>
      </c>
      <c r="B6" s="4">
        <f ca="1"/>
        <v>-2.667982460044338E-2</v>
      </c>
      <c r="C6" s="4">
        <f ca="1"/>
        <v>-2.6622654213366626E-2</v>
      </c>
      <c r="D6" s="4">
        <f ca="1"/>
        <v>-4.493412034275146E-2</v>
      </c>
      <c r="E6" s="4">
        <f ca="1"/>
        <v>-7.441689047941813E-2</v>
      </c>
    </row>
    <row r="7" spans="1:5">
      <c r="A7" t="s">
        <v>20</v>
      </c>
      <c r="B7" s="4">
        <f ca="1"/>
        <v>1.3268251802406967E-2</v>
      </c>
      <c r="C7" s="4">
        <f ca="1"/>
        <v>3.3033033165613901E-2</v>
      </c>
      <c r="D7" s="4">
        <f ca="1"/>
        <v>1.6697897914392031E-2</v>
      </c>
      <c r="E7" s="4">
        <f ca="1"/>
        <v>1.7423381332031928E-2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9226-BD49-4D36-BA73-CEC71BC34920}">
  <dimension ref="A1:S63"/>
  <sheetViews>
    <sheetView topLeftCell="B1" workbookViewId="0">
      <selection activeCell="H2" sqref="H2:L6"/>
    </sheetView>
  </sheetViews>
  <sheetFormatPr defaultRowHeight="15"/>
  <cols>
    <col min="1" max="1" width="10.140625" bestFit="1" customWidth="1"/>
    <col min="2" max="2" width="14.5703125" bestFit="1" customWidth="1"/>
    <col min="3" max="3" width="14.28515625" bestFit="1" customWidth="1"/>
    <col min="4" max="4" width="13.85546875" bestFit="1" customWidth="1"/>
    <col min="5" max="5" width="15" bestFit="1" customWidth="1"/>
    <col min="8" max="12" width="12.7109375" customWidth="1"/>
    <col min="13" max="13" width="9.42578125" bestFit="1" customWidth="1"/>
  </cols>
  <sheetData>
    <row r="1" spans="1:19">
      <c r="A1" t="s">
        <v>1</v>
      </c>
      <c r="B1" s="16" t="str" cm="1">
        <f t="array" ref="B1:B63">charts!B1:B63</f>
        <v>Apple_AdjClose</v>
      </c>
      <c r="C1" s="16" t="str" cm="1">
        <f t="array" ref="C1:C63">charts!C1:C63</f>
        <v>MSFT_AdjClose</v>
      </c>
      <c r="D1" s="16" t="str" cm="1">
        <f t="array" ref="D1:D63">charts!D1:D63</f>
        <v>NFLX_AdjClose</v>
      </c>
      <c r="E1" s="16" t="str" cm="1">
        <f t="array" ref="E1:E63">charts!E1:E63</f>
        <v>GOOG_AdjClose</v>
      </c>
      <c r="H1" s="18"/>
      <c r="I1" s="18"/>
      <c r="J1" s="18"/>
      <c r="K1" s="18"/>
      <c r="L1" s="18"/>
    </row>
    <row r="2" spans="1:19" ht="18" customHeight="1">
      <c r="A2" s="1" cm="1">
        <f t="array" ref="A2:A63">charts!A2:A63</f>
        <v>44964</v>
      </c>
      <c r="B2" s="16">
        <v>154.41423034667901</v>
      </c>
      <c r="C2" s="16">
        <v>266.891510009765</v>
      </c>
      <c r="D2" s="16">
        <v>362.95001220703102</v>
      </c>
      <c r="E2" s="16">
        <v>108.040000915527</v>
      </c>
      <c r="G2" s="18"/>
      <c r="H2" s="22"/>
      <c r="I2" s="23" t="s">
        <v>22</v>
      </c>
      <c r="J2" s="24" t="s">
        <v>23</v>
      </c>
      <c r="K2" s="25" t="s">
        <v>24</v>
      </c>
      <c r="L2" s="26" t="s">
        <v>25</v>
      </c>
      <c r="M2" s="18"/>
    </row>
    <row r="3" spans="1:19" ht="18" customHeight="1">
      <c r="A3" s="1">
        <v>44965</v>
      </c>
      <c r="B3" s="16">
        <v>151.68840026855401</v>
      </c>
      <c r="C3" s="16">
        <v>266.06359863281199</v>
      </c>
      <c r="D3" s="16">
        <v>366.829986572265</v>
      </c>
      <c r="E3" s="16">
        <v>100</v>
      </c>
      <c r="G3" s="18"/>
      <c r="H3" s="27" t="s">
        <v>22</v>
      </c>
      <c r="I3" s="31">
        <f>CORREL(B2:B63,B2:B63)</f>
        <v>1</v>
      </c>
      <c r="J3" s="32">
        <f>CORREL(B2:B63,C2:C63)</f>
        <v>0.95397672071022521</v>
      </c>
      <c r="K3" s="33">
        <f>CORREL(B2:B63,D2:D63)</f>
        <v>0.15117759259183955</v>
      </c>
      <c r="L3" s="34">
        <f>CORREL(B2:B63,E2:E63)</f>
        <v>0.9004047124059632</v>
      </c>
      <c r="M3" s="18"/>
    </row>
    <row r="4" spans="1:19" ht="18" customHeight="1">
      <c r="A4" s="1">
        <v>44966</v>
      </c>
      <c r="B4" s="16">
        <v>150.63999938964801</v>
      </c>
      <c r="C4" s="16">
        <v>262.96136474609301</v>
      </c>
      <c r="D4" s="16">
        <v>362.5</v>
      </c>
      <c r="E4" s="16">
        <v>95.459999084472599</v>
      </c>
      <c r="G4" s="18"/>
      <c r="H4" s="28" t="s">
        <v>23</v>
      </c>
      <c r="I4" s="35">
        <f>CORREL(C2:C63,B2:B63)</f>
        <v>0.95397672071022521</v>
      </c>
      <c r="J4" s="36">
        <f>CORREL(C2:C63,C2:C63)</f>
        <v>0.99999999999999978</v>
      </c>
      <c r="K4" s="37">
        <f>CORREL(C2:C63,D2:D63)</f>
        <v>0.18453513243382855</v>
      </c>
      <c r="L4" s="38">
        <f>CORREL(C2:C63,E2:E63)</f>
        <v>0.88459033183049718</v>
      </c>
      <c r="M4" s="18"/>
      <c r="P4" s="18"/>
    </row>
    <row r="5" spans="1:19" ht="18" customHeight="1">
      <c r="A5" s="1">
        <v>44967</v>
      </c>
      <c r="B5" s="16">
        <v>151.009994506835</v>
      </c>
      <c r="C5" s="16">
        <v>262.44265747070301</v>
      </c>
      <c r="D5" s="16">
        <v>347.35998535156199</v>
      </c>
      <c r="E5" s="16">
        <v>94.860000610351506</v>
      </c>
      <c r="G5" s="18"/>
      <c r="H5" s="29" t="s">
        <v>24</v>
      </c>
      <c r="I5" s="39">
        <f>CORREL(D2:D63,B2:B63)</f>
        <v>0.15117759259183955</v>
      </c>
      <c r="J5" s="40">
        <f>CORREL(D2:D63,C2:C63)</f>
        <v>0.18453513243382855</v>
      </c>
      <c r="K5" s="31">
        <f>CORREL(D2:D63,D2:D63)</f>
        <v>0.99999999999999978</v>
      </c>
      <c r="L5" s="41">
        <f>CORREL(D2:D63,E2:E63)</f>
        <v>0.20104610369838907</v>
      </c>
      <c r="M5" s="18"/>
      <c r="P5" s="16"/>
      <c r="Q5" s="16"/>
      <c r="R5" s="16"/>
      <c r="S5" s="16"/>
    </row>
    <row r="6" spans="1:19" ht="18" customHeight="1">
      <c r="A6" s="1">
        <v>44970</v>
      </c>
      <c r="B6" s="16">
        <v>153.850006103515</v>
      </c>
      <c r="C6" s="16">
        <v>270.64212036132801</v>
      </c>
      <c r="D6" s="16">
        <v>358.57000732421801</v>
      </c>
      <c r="E6" s="16">
        <v>95</v>
      </c>
      <c r="G6" s="18"/>
      <c r="H6" s="30" t="s">
        <v>25</v>
      </c>
      <c r="I6" s="42">
        <f>CORREL(E2:E63,B2:B63)</f>
        <v>0.9004047124059632</v>
      </c>
      <c r="J6" s="43">
        <f>CORREL(E2:E63,C2:C63)</f>
        <v>0.88459033183049718</v>
      </c>
      <c r="K6" s="43">
        <f>CORREL(E2:E63,D2:D63)</f>
        <v>0.20104610369838907</v>
      </c>
      <c r="L6" s="44">
        <f>CORREL(E2:E63,E2:E63)</f>
        <v>1</v>
      </c>
      <c r="M6" s="18"/>
      <c r="O6" s="21"/>
      <c r="P6" s="19"/>
      <c r="Q6" s="20"/>
      <c r="R6" s="20"/>
      <c r="S6" s="16"/>
    </row>
    <row r="7" spans="1:19">
      <c r="A7" s="1">
        <v>44971</v>
      </c>
      <c r="B7" s="16">
        <v>153.19999694824199</v>
      </c>
      <c r="C7" s="16">
        <v>271.49002075195301</v>
      </c>
      <c r="D7" s="16">
        <v>359.95999145507801</v>
      </c>
      <c r="E7" s="16">
        <v>94.949996948242102</v>
      </c>
      <c r="H7" s="18"/>
      <c r="I7" s="18"/>
      <c r="J7" s="18"/>
      <c r="K7" s="18"/>
      <c r="L7" s="18"/>
      <c r="M7" s="18"/>
      <c r="P7" s="19"/>
      <c r="Q7" s="19"/>
      <c r="R7" s="20"/>
      <c r="S7" s="16"/>
    </row>
    <row r="8" spans="1:19">
      <c r="A8" s="1">
        <v>44972</v>
      </c>
      <c r="B8" s="16">
        <v>155.33000183105401</v>
      </c>
      <c r="C8" s="16">
        <v>269.32000732421801</v>
      </c>
      <c r="D8" s="16">
        <v>361.42001342773398</v>
      </c>
      <c r="E8" s="16">
        <v>97.099998474121094</v>
      </c>
      <c r="P8" s="19"/>
      <c r="Q8" s="19"/>
      <c r="R8" s="19"/>
      <c r="S8" s="16"/>
    </row>
    <row r="9" spans="1:19">
      <c r="A9" s="1">
        <v>44973</v>
      </c>
      <c r="B9" s="16">
        <v>153.71000671386699</v>
      </c>
      <c r="C9" s="16">
        <v>262.14999389648398</v>
      </c>
      <c r="D9" s="16">
        <v>350.70999145507801</v>
      </c>
      <c r="E9" s="16">
        <v>95.779998779296804</v>
      </c>
    </row>
    <row r="10" spans="1:19">
      <c r="A10" s="1">
        <v>44974</v>
      </c>
      <c r="B10" s="16">
        <v>152.55000305175699</v>
      </c>
      <c r="C10" s="16">
        <v>258.05999755859301</v>
      </c>
      <c r="D10" s="16">
        <v>347.95999145507801</v>
      </c>
      <c r="E10" s="16">
        <v>94.589996337890597</v>
      </c>
    </row>
    <row r="11" spans="1:19">
      <c r="A11" s="1">
        <v>44978</v>
      </c>
      <c r="B11" s="16">
        <v>148.47999572753901</v>
      </c>
      <c r="C11" s="16">
        <v>252.669998168945</v>
      </c>
      <c r="D11" s="16">
        <v>337.5</v>
      </c>
      <c r="E11" s="16">
        <v>92.050003051757798</v>
      </c>
    </row>
    <row r="12" spans="1:19">
      <c r="A12" s="1">
        <v>44979</v>
      </c>
      <c r="B12" s="16">
        <v>148.91000366210901</v>
      </c>
      <c r="C12" s="16">
        <v>251.509994506835</v>
      </c>
      <c r="D12" s="16">
        <v>334.88000488281199</v>
      </c>
      <c r="E12" s="16">
        <v>91.800003051757798</v>
      </c>
      <c r="K12" s="9"/>
      <c r="L12" s="9"/>
      <c r="M12" s="9"/>
      <c r="N12" s="9"/>
      <c r="O12" s="9"/>
    </row>
    <row r="13" spans="1:19">
      <c r="A13" s="1">
        <v>44980</v>
      </c>
      <c r="B13" s="16">
        <v>149.39999389648401</v>
      </c>
      <c r="C13" s="16">
        <v>254.77000427246</v>
      </c>
      <c r="D13" s="16">
        <v>323.64999389648398</v>
      </c>
      <c r="E13" s="16">
        <v>91.069999694824205</v>
      </c>
      <c r="K13" s="9"/>
    </row>
    <row r="14" spans="1:19">
      <c r="A14" s="1">
        <v>44981</v>
      </c>
      <c r="B14" s="16">
        <v>146.71000671386699</v>
      </c>
      <c r="C14" s="16">
        <v>249.22000122070301</v>
      </c>
      <c r="D14" s="16">
        <v>317.14999389648398</v>
      </c>
      <c r="E14" s="16">
        <v>89.349998474121094</v>
      </c>
      <c r="K14" s="9"/>
    </row>
    <row r="15" spans="1:19">
      <c r="A15" s="1">
        <v>44984</v>
      </c>
      <c r="B15" s="16">
        <v>147.919998168945</v>
      </c>
      <c r="C15" s="16">
        <v>250.16000366210901</v>
      </c>
      <c r="D15" s="16">
        <v>323.02999877929602</v>
      </c>
      <c r="E15" s="16">
        <v>90.099998474121094</v>
      </c>
      <c r="K15" s="9"/>
    </row>
    <row r="16" spans="1:19">
      <c r="A16" s="1">
        <v>44985</v>
      </c>
      <c r="B16" s="16">
        <v>147.41000366210901</v>
      </c>
      <c r="C16" s="16">
        <v>249.419998168945</v>
      </c>
      <c r="D16" s="16">
        <v>322.13000488281199</v>
      </c>
      <c r="E16" s="16">
        <v>90.300003051757798</v>
      </c>
      <c r="K16" s="9"/>
    </row>
    <row r="17" spans="1:5">
      <c r="A17" s="1">
        <v>44986</v>
      </c>
      <c r="B17" s="16">
        <v>145.30999755859301</v>
      </c>
      <c r="C17" s="16">
        <v>246.27000427246</v>
      </c>
      <c r="D17" s="16">
        <v>313.48001098632801</v>
      </c>
      <c r="E17" s="16">
        <v>90.510002136230398</v>
      </c>
    </row>
    <row r="18" spans="1:5">
      <c r="A18" s="1">
        <v>44987</v>
      </c>
      <c r="B18" s="16">
        <v>145.91000366210901</v>
      </c>
      <c r="C18" s="16">
        <v>251.11000061035099</v>
      </c>
      <c r="D18" s="16">
        <v>311.88000488281199</v>
      </c>
      <c r="E18" s="16">
        <v>92.309997558593693</v>
      </c>
    </row>
    <row r="19" spans="1:5">
      <c r="A19" s="1">
        <v>44988</v>
      </c>
      <c r="B19" s="16">
        <v>151.02999877929599</v>
      </c>
      <c r="C19" s="16">
        <v>255.28999328613199</v>
      </c>
      <c r="D19" s="16">
        <v>315.17999267578102</v>
      </c>
      <c r="E19" s="16">
        <v>94.019996643066406</v>
      </c>
    </row>
    <row r="20" spans="1:5">
      <c r="A20" s="1">
        <v>44991</v>
      </c>
      <c r="B20" s="16">
        <v>153.83000183105401</v>
      </c>
      <c r="C20" s="16">
        <v>256.86999511718699</v>
      </c>
      <c r="D20" s="16">
        <v>312.02999877929602</v>
      </c>
      <c r="E20" s="16">
        <v>95.580001831054602</v>
      </c>
    </row>
    <row r="21" spans="1:5">
      <c r="A21" s="1">
        <v>44992</v>
      </c>
      <c r="B21" s="16">
        <v>151.600006103515</v>
      </c>
      <c r="C21" s="16">
        <v>254.14999389648401</v>
      </c>
      <c r="D21" s="16">
        <v>308.47000122070301</v>
      </c>
      <c r="E21" s="16">
        <v>94.169998168945298</v>
      </c>
    </row>
    <row r="22" spans="1:5">
      <c r="A22" s="1">
        <v>44993</v>
      </c>
      <c r="B22" s="16">
        <v>152.86999511718699</v>
      </c>
      <c r="C22" s="16">
        <v>253.69999694824199</v>
      </c>
      <c r="D22" s="16">
        <v>311.79000854492102</v>
      </c>
      <c r="E22" s="16">
        <v>94.650001525878906</v>
      </c>
    </row>
    <row r="23" spans="1:5">
      <c r="A23" s="1">
        <v>44994</v>
      </c>
      <c r="B23" s="16">
        <v>150.58999633789</v>
      </c>
      <c r="C23" s="16">
        <v>252.32000732421801</v>
      </c>
      <c r="D23" s="16">
        <v>297.77999877929602</v>
      </c>
      <c r="E23" s="16">
        <v>92.660003662109304</v>
      </c>
    </row>
    <row r="24" spans="1:5">
      <c r="A24" s="1">
        <v>44995</v>
      </c>
      <c r="B24" s="16">
        <v>148.5</v>
      </c>
      <c r="C24" s="16">
        <v>248.58999633789</v>
      </c>
      <c r="D24" s="16">
        <v>292.760009765625</v>
      </c>
      <c r="E24" s="16">
        <v>91.010002136230398</v>
      </c>
    </row>
    <row r="25" spans="1:5">
      <c r="A25" s="1">
        <v>44998</v>
      </c>
      <c r="B25" s="16">
        <v>150.47000122070301</v>
      </c>
      <c r="C25" s="16">
        <v>253.919998168945</v>
      </c>
      <c r="D25" s="16">
        <v>293.510009765625</v>
      </c>
      <c r="E25" s="16">
        <v>91.660003662109304</v>
      </c>
    </row>
    <row r="26" spans="1:5">
      <c r="A26" s="1">
        <v>44999</v>
      </c>
      <c r="B26" s="16">
        <v>152.58999633789</v>
      </c>
      <c r="C26" s="16">
        <v>260.79000854492102</v>
      </c>
      <c r="D26" s="16">
        <v>294.94000244140602</v>
      </c>
      <c r="E26" s="16">
        <v>94.25</v>
      </c>
    </row>
    <row r="27" spans="1:5">
      <c r="A27" s="1">
        <v>45000</v>
      </c>
      <c r="B27" s="16">
        <v>152.99000549316401</v>
      </c>
      <c r="C27" s="16">
        <v>265.44000244140602</v>
      </c>
      <c r="D27" s="16">
        <v>303.79000854492102</v>
      </c>
      <c r="E27" s="16">
        <v>96.550003051757798</v>
      </c>
    </row>
    <row r="28" spans="1:5">
      <c r="A28" s="1">
        <v>45001</v>
      </c>
      <c r="B28" s="16">
        <v>155.850006103515</v>
      </c>
      <c r="C28" s="16">
        <v>276.20001220703102</v>
      </c>
      <c r="D28" s="16">
        <v>310.05999755859301</v>
      </c>
      <c r="E28" s="16">
        <v>101.06999969482401</v>
      </c>
    </row>
    <row r="29" spans="1:5">
      <c r="A29" s="1">
        <v>45002</v>
      </c>
      <c r="B29" s="16">
        <v>155</v>
      </c>
      <c r="C29" s="16">
        <v>279.42999267578102</v>
      </c>
      <c r="D29" s="16">
        <v>303.5</v>
      </c>
      <c r="E29" s="16">
        <v>102.459999084472</v>
      </c>
    </row>
    <row r="30" spans="1:5">
      <c r="A30" s="1">
        <v>45005</v>
      </c>
      <c r="B30" s="16">
        <v>157.39999389648401</v>
      </c>
      <c r="C30" s="16">
        <v>272.23001098632801</v>
      </c>
      <c r="D30" s="16">
        <v>305.13000488281199</v>
      </c>
      <c r="E30" s="16">
        <v>101.930000305175</v>
      </c>
    </row>
    <row r="31" spans="1:5">
      <c r="A31" s="1">
        <v>45006</v>
      </c>
      <c r="B31" s="16">
        <v>159.27999877929599</v>
      </c>
      <c r="C31" s="16">
        <v>273.77999877929602</v>
      </c>
      <c r="D31" s="16">
        <v>305.79000854492102</v>
      </c>
      <c r="E31" s="16">
        <v>105.83999633789</v>
      </c>
    </row>
    <row r="32" spans="1:5">
      <c r="A32" s="1">
        <v>45007</v>
      </c>
      <c r="B32" s="16">
        <v>157.83000183105401</v>
      </c>
      <c r="C32" s="16">
        <v>272.29000854492102</v>
      </c>
      <c r="D32" s="16">
        <v>293.89999389648398</v>
      </c>
      <c r="E32" s="16">
        <v>104.220001220703</v>
      </c>
    </row>
    <row r="33" spans="1:5">
      <c r="A33" s="1">
        <v>45008</v>
      </c>
      <c r="B33" s="16">
        <v>158.92999267578099</v>
      </c>
      <c r="C33" s="16">
        <v>277.66000366210898</v>
      </c>
      <c r="D33" s="16">
        <v>320.36999511718699</v>
      </c>
      <c r="E33" s="16">
        <v>106.26000213623</v>
      </c>
    </row>
    <row r="34" spans="1:5">
      <c r="A34" s="1">
        <v>45009</v>
      </c>
      <c r="B34" s="16">
        <v>160.25</v>
      </c>
      <c r="C34" s="16">
        <v>280.57000732421801</v>
      </c>
      <c r="D34" s="16">
        <v>328.39001464843699</v>
      </c>
      <c r="E34" s="16">
        <v>106.059997558593</v>
      </c>
    </row>
    <row r="35" spans="1:5">
      <c r="A35" s="1">
        <v>45012</v>
      </c>
      <c r="B35" s="16">
        <v>158.27999877929599</v>
      </c>
      <c r="C35" s="16">
        <v>276.38000488281199</v>
      </c>
      <c r="D35" s="16">
        <v>327.66000366210898</v>
      </c>
      <c r="E35" s="16">
        <v>103.059997558593</v>
      </c>
    </row>
    <row r="36" spans="1:5">
      <c r="A36" s="1">
        <v>45013</v>
      </c>
      <c r="B36" s="16">
        <v>157.64999389648401</v>
      </c>
      <c r="C36" s="16">
        <v>275.23001098632801</v>
      </c>
      <c r="D36" s="16">
        <v>323.51998901367102</v>
      </c>
      <c r="E36" s="16">
        <v>101.36000061035099</v>
      </c>
    </row>
    <row r="37" spans="1:5">
      <c r="A37" s="1">
        <v>45014</v>
      </c>
      <c r="B37" s="16">
        <v>160.77000427246</v>
      </c>
      <c r="C37" s="16">
        <v>280.510009765625</v>
      </c>
      <c r="D37" s="16">
        <v>332.02999877929602</v>
      </c>
      <c r="E37" s="16">
        <v>101.900001525878</v>
      </c>
    </row>
    <row r="38" spans="1:5">
      <c r="A38" s="1">
        <v>45015</v>
      </c>
      <c r="B38" s="16">
        <v>162.36000061035099</v>
      </c>
      <c r="C38" s="16">
        <v>284.04998779296801</v>
      </c>
      <c r="D38" s="16">
        <v>338.42999267578102</v>
      </c>
      <c r="E38" s="16">
        <v>101.31999969482401</v>
      </c>
    </row>
    <row r="39" spans="1:5">
      <c r="A39" s="1">
        <v>45016</v>
      </c>
      <c r="B39" s="16">
        <v>164.89999389648401</v>
      </c>
      <c r="C39" s="16">
        <v>288.29998779296801</v>
      </c>
      <c r="D39" s="16">
        <v>345.48001098632801</v>
      </c>
      <c r="E39" s="16">
        <v>104</v>
      </c>
    </row>
    <row r="40" spans="1:5">
      <c r="A40" s="1">
        <v>45019</v>
      </c>
      <c r="B40" s="16">
        <v>166.169998168945</v>
      </c>
      <c r="C40" s="16">
        <v>287.23001098632801</v>
      </c>
      <c r="D40" s="16">
        <v>348.27999877929602</v>
      </c>
      <c r="E40" s="16">
        <v>104.91000366210901</v>
      </c>
    </row>
    <row r="41" spans="1:5">
      <c r="A41" s="1">
        <v>45020</v>
      </c>
      <c r="B41" s="16">
        <v>165.63000488281199</v>
      </c>
      <c r="C41" s="16">
        <v>287.17999267578102</v>
      </c>
      <c r="D41" s="16">
        <v>346.75</v>
      </c>
      <c r="E41" s="16">
        <v>105.120002746582</v>
      </c>
    </row>
    <row r="42" spans="1:5">
      <c r="A42" s="1">
        <v>45021</v>
      </c>
      <c r="B42" s="16">
        <v>163.759994506835</v>
      </c>
      <c r="C42" s="16">
        <v>284.33999633789</v>
      </c>
      <c r="D42" s="16">
        <v>342.350006103515</v>
      </c>
      <c r="E42" s="16">
        <v>104.949996948242</v>
      </c>
    </row>
    <row r="43" spans="1:5">
      <c r="A43" s="1">
        <v>45022</v>
      </c>
      <c r="B43" s="16">
        <v>164.66000366210901</v>
      </c>
      <c r="C43" s="16">
        <v>291.600006103515</v>
      </c>
      <c r="D43" s="16">
        <v>339.329986572265</v>
      </c>
      <c r="E43" s="16">
        <v>108.900001525878</v>
      </c>
    </row>
    <row r="44" spans="1:5">
      <c r="A44" s="1">
        <v>45026</v>
      </c>
      <c r="B44" s="16">
        <v>162.02999877929599</v>
      </c>
      <c r="C44" s="16">
        <v>289.39001464843699</v>
      </c>
      <c r="D44" s="16">
        <v>338.989990234375</v>
      </c>
      <c r="E44" s="16">
        <v>106.949996948242</v>
      </c>
    </row>
    <row r="45" spans="1:5">
      <c r="A45" s="1">
        <v>45027</v>
      </c>
      <c r="B45" s="16">
        <v>160.80000305175699</v>
      </c>
      <c r="C45" s="16">
        <v>282.829986572265</v>
      </c>
      <c r="D45" s="16">
        <v>338.20999145507801</v>
      </c>
      <c r="E45" s="16">
        <v>106.120002746582</v>
      </c>
    </row>
    <row r="46" spans="1:5">
      <c r="A46" s="1">
        <v>45028</v>
      </c>
      <c r="B46" s="16">
        <v>160.100006103515</v>
      </c>
      <c r="C46" s="16">
        <v>283.489990234375</v>
      </c>
      <c r="D46" s="16">
        <v>331.02999877929602</v>
      </c>
      <c r="E46" s="16">
        <v>105.220001220703</v>
      </c>
    </row>
    <row r="47" spans="1:5">
      <c r="A47" s="1">
        <v>45029</v>
      </c>
      <c r="B47" s="16">
        <v>165.55999755859301</v>
      </c>
      <c r="C47" s="16">
        <v>289.83999633789</v>
      </c>
      <c r="D47" s="16">
        <v>346.19000244140602</v>
      </c>
      <c r="E47" s="16">
        <v>108.19000244140599</v>
      </c>
    </row>
    <row r="48" spans="1:5">
      <c r="A48" s="1">
        <v>45030</v>
      </c>
      <c r="B48" s="16">
        <v>165.21000671386699</v>
      </c>
      <c r="C48" s="16">
        <v>286.14001464843699</v>
      </c>
      <c r="D48" s="16">
        <v>338.63000488281199</v>
      </c>
      <c r="E48" s="16">
        <v>109.459999084472</v>
      </c>
    </row>
    <row r="49" spans="1:5">
      <c r="A49" s="1">
        <v>45033</v>
      </c>
      <c r="B49" s="16">
        <v>165.22999572753901</v>
      </c>
      <c r="C49" s="16">
        <v>288.79998779296801</v>
      </c>
      <c r="D49" s="16">
        <v>332.72000122070301</v>
      </c>
      <c r="E49" s="16">
        <v>106.419998168945</v>
      </c>
    </row>
    <row r="50" spans="1:5">
      <c r="A50" s="1">
        <v>45034</v>
      </c>
      <c r="B50" s="16">
        <v>166.47000122070301</v>
      </c>
      <c r="C50" s="16">
        <v>288.36999511718699</v>
      </c>
      <c r="D50" s="16">
        <v>333.70001220703102</v>
      </c>
      <c r="E50" s="16">
        <v>105.120002746582</v>
      </c>
    </row>
    <row r="51" spans="1:5">
      <c r="A51" s="1">
        <v>45035</v>
      </c>
      <c r="B51" s="16">
        <v>167.63000488281199</v>
      </c>
      <c r="C51" s="16">
        <v>288.45001220703102</v>
      </c>
      <c r="D51" s="16">
        <v>323.11999511718699</v>
      </c>
      <c r="E51" s="16">
        <v>105.01999664306599</v>
      </c>
    </row>
    <row r="52" spans="1:5">
      <c r="A52" s="1">
        <v>45036</v>
      </c>
      <c r="B52" s="16">
        <v>166.64999389648401</v>
      </c>
      <c r="C52" s="16">
        <v>286.10998535156199</v>
      </c>
      <c r="D52" s="16">
        <v>325.350006103515</v>
      </c>
      <c r="E52" s="16">
        <v>105.900001525878</v>
      </c>
    </row>
    <row r="53" spans="1:5">
      <c r="A53" s="1">
        <v>45037</v>
      </c>
      <c r="B53" s="16">
        <v>165.02000427246</v>
      </c>
      <c r="C53" s="16">
        <v>285.760009765625</v>
      </c>
      <c r="D53" s="16">
        <v>327.98001098632801</v>
      </c>
      <c r="E53" s="16">
        <v>105.91000366210901</v>
      </c>
    </row>
    <row r="54" spans="1:5">
      <c r="A54" s="1">
        <v>45040</v>
      </c>
      <c r="B54" s="16">
        <v>165.33000183105401</v>
      </c>
      <c r="C54" s="16">
        <v>281.76998901367102</v>
      </c>
      <c r="D54" s="16">
        <v>329.01998901367102</v>
      </c>
      <c r="E54" s="16">
        <v>106.77999877929599</v>
      </c>
    </row>
    <row r="55" spans="1:5">
      <c r="A55" s="1">
        <v>45041</v>
      </c>
      <c r="B55" s="16">
        <v>163.77000427246</v>
      </c>
      <c r="C55" s="16">
        <v>275.42001342773398</v>
      </c>
      <c r="D55" s="16">
        <v>322.54998779296801</v>
      </c>
      <c r="E55" s="16">
        <v>104.61000061035099</v>
      </c>
    </row>
    <row r="56" spans="1:5">
      <c r="A56" s="1">
        <v>45042</v>
      </c>
      <c r="B56" s="16">
        <v>163.759994506835</v>
      </c>
      <c r="C56" s="16">
        <v>295.36999511718699</v>
      </c>
      <c r="D56" s="16">
        <v>321.14999389648398</v>
      </c>
      <c r="E56" s="16">
        <v>104.449996948242</v>
      </c>
    </row>
    <row r="57" spans="1:5">
      <c r="A57" s="1">
        <v>45043</v>
      </c>
      <c r="B57" s="16">
        <v>168.41000366210901</v>
      </c>
      <c r="C57" s="16">
        <v>304.829986572265</v>
      </c>
      <c r="D57" s="16">
        <v>325.850006103515</v>
      </c>
      <c r="E57" s="16">
        <v>108.370002746582</v>
      </c>
    </row>
    <row r="58" spans="1:5">
      <c r="A58" s="1">
        <v>45044</v>
      </c>
      <c r="B58" s="16">
        <v>169.67999267578099</v>
      </c>
      <c r="C58" s="16">
        <v>307.260009765625</v>
      </c>
      <c r="D58" s="16">
        <v>329.92999267578102</v>
      </c>
      <c r="E58" s="16">
        <v>108.220001220703</v>
      </c>
    </row>
    <row r="59" spans="1:5">
      <c r="A59" s="1">
        <v>45047</v>
      </c>
      <c r="B59" s="16">
        <v>169.58999633789</v>
      </c>
      <c r="C59" s="16">
        <v>305.55999755859301</v>
      </c>
      <c r="D59" s="16">
        <v>324.11999511718699</v>
      </c>
      <c r="E59" s="16">
        <v>107.709999084472</v>
      </c>
    </row>
    <row r="60" spans="1:5">
      <c r="A60" s="1">
        <v>45048</v>
      </c>
      <c r="B60" s="16">
        <v>168.53999328613199</v>
      </c>
      <c r="C60" s="16">
        <v>305.41000366210898</v>
      </c>
      <c r="D60" s="16">
        <v>317.54998779296801</v>
      </c>
      <c r="E60" s="16">
        <v>105.980003356933</v>
      </c>
    </row>
    <row r="61" spans="1:5">
      <c r="A61" s="1">
        <v>45049</v>
      </c>
      <c r="B61" s="16">
        <v>167.44999694824199</v>
      </c>
      <c r="C61" s="16">
        <v>304.39999389648398</v>
      </c>
      <c r="D61" s="16">
        <v>319.29998779296801</v>
      </c>
      <c r="E61" s="16">
        <v>106.120002746582</v>
      </c>
    </row>
    <row r="62" spans="1:5">
      <c r="A62" s="1">
        <v>45050</v>
      </c>
      <c r="B62" s="16">
        <v>165.78999328613199</v>
      </c>
      <c r="C62" s="16">
        <v>305.41000366210898</v>
      </c>
      <c r="D62" s="16">
        <v>320.77999877929602</v>
      </c>
      <c r="E62" s="16">
        <v>105.209999084472</v>
      </c>
    </row>
    <row r="63" spans="1:5">
      <c r="A63" s="1">
        <v>45051</v>
      </c>
      <c r="B63" s="16">
        <v>173.57000732421801</v>
      </c>
      <c r="C63" s="16">
        <v>310.64999389648398</v>
      </c>
      <c r="D63" s="16">
        <v>322.760009765625</v>
      </c>
      <c r="E63" s="16">
        <v>106.21499633789</v>
      </c>
    </row>
  </sheetData>
  <conditionalFormatting sqref="P5:S5 R7 S7:S8 Q6:S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L3 K5 L5:L6 J4:L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4DC6-7339-4AC8-8978-19E799FA84A9}">
  <dimension ref="A1:R63"/>
  <sheetViews>
    <sheetView topLeftCell="P1" workbookViewId="0">
      <selection activeCell="B2" sqref="B2"/>
    </sheetView>
  </sheetViews>
  <sheetFormatPr defaultRowHeight="15"/>
  <cols>
    <col min="1" max="1" width="10.140625" bestFit="1" customWidth="1"/>
    <col min="2" max="2" width="14.85546875" bestFit="1" customWidth="1"/>
    <col min="3" max="3" width="14.5703125" bestFit="1" customWidth="1"/>
    <col min="4" max="4" width="14.140625" bestFit="1" customWidth="1"/>
    <col min="5" max="5" width="15.28515625" bestFit="1" customWidth="1"/>
    <col min="6" max="6" width="13.28515625" bestFit="1" customWidth="1"/>
    <col min="7" max="7" width="13" bestFit="1" customWidth="1"/>
    <col min="8" max="8" width="12.42578125" bestFit="1" customWidth="1"/>
    <col min="9" max="9" width="13.7109375" bestFit="1" customWidth="1"/>
    <col min="10" max="10" width="13.7109375" customWidth="1"/>
    <col min="11" max="11" width="12.7109375" bestFit="1" customWidth="1"/>
    <col min="12" max="12" width="12.42578125" bestFit="1" customWidth="1"/>
    <col min="13" max="13" width="12" bestFit="1" customWidth="1"/>
    <col min="14" max="14" width="13.140625" bestFit="1" customWidth="1"/>
    <col min="15" max="15" width="10.140625" bestFit="1" customWidth="1"/>
    <col min="16" max="16" width="9.85546875" bestFit="1" customWidth="1"/>
    <col min="17" max="17" width="9.28515625" bestFit="1" customWidth="1"/>
    <col min="18" max="18" width="10.42578125" bestFit="1" customWidth="1"/>
  </cols>
  <sheetData>
    <row r="1" spans="1:18">
      <c r="A1" t="str" cm="1">
        <f t="array" ref="A1:A63">Apple!B1:B63</f>
        <v>Date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</row>
    <row r="2" spans="1:18">
      <c r="A2" s="1">
        <v>44964</v>
      </c>
      <c r="B2" s="16" cm="1">
        <f t="array" ref="B2:B63">Apple!G2:G63</f>
        <v>154.41423034667901</v>
      </c>
      <c r="C2" s="16" cm="1">
        <f t="array" ref="C2:C63">msft!G2:G63</f>
        <v>266.891510009765</v>
      </c>
      <c r="D2" s="16" cm="1">
        <f t="array" ref="D2:D63">nflx!G2:G63</f>
        <v>362.95001220703102</v>
      </c>
      <c r="E2" s="16" cm="1">
        <f t="array" ref="E2:E63">google!G2:G63</f>
        <v>108.040000915527</v>
      </c>
      <c r="F2" s="4" cm="1">
        <f t="array" ref="F2:F63">Apple!I2:I63</f>
        <v>0</v>
      </c>
      <c r="G2" s="4" cm="1">
        <f t="array" ref="G2:G63">msft!I2:I63</f>
        <v>0</v>
      </c>
      <c r="H2" s="4" cm="1">
        <f t="array" ref="H2:H63">nflx!I2:I63</f>
        <v>0</v>
      </c>
      <c r="I2" s="4" cm="1">
        <f t="array" ref="I2:I63">google!I2:I63</f>
        <v>0</v>
      </c>
      <c r="J2" s="17">
        <v>0</v>
      </c>
      <c r="K2" cm="1">
        <f t="array" aca="1" ref="K2:K63" ca="1">Apple!K2:K63</f>
        <v>0</v>
      </c>
      <c r="L2" cm="1">
        <f t="array" aca="1" ref="L2:L63" ca="1">msft!K2:K63</f>
        <v>0</v>
      </c>
      <c r="M2" cm="1">
        <f t="array" aca="1" ref="M2:M63" ca="1">nflx!K2:K63</f>
        <v>0</v>
      </c>
      <c r="N2" cm="1">
        <f t="array" aca="1" ref="N2:N63" ca="1">google!K2:K63</f>
        <v>0</v>
      </c>
      <c r="O2" cm="1">
        <f t="array" aca="1" ref="O2:O63" ca="1">Apple!L2:L63</f>
        <v>0</v>
      </c>
      <c r="P2" cm="1">
        <f t="array" aca="1" ref="P2:P63" ca="1">msft!L2:L63</f>
        <v>0</v>
      </c>
      <c r="Q2" cm="1">
        <f t="array" aca="1" ref="Q2:Q63" ca="1">nflx!L2:L63</f>
        <v>0</v>
      </c>
      <c r="R2" cm="1">
        <f t="array" aca="1" ref="R2:R63" ca="1">google!L2:L63</f>
        <v>0</v>
      </c>
    </row>
    <row r="3" spans="1:18">
      <c r="A3" s="1">
        <v>44965</v>
      </c>
      <c r="B3" s="16">
        <v>151.68840026855401</v>
      </c>
      <c r="C3" s="16">
        <v>266.06359863281199</v>
      </c>
      <c r="D3" s="16">
        <v>366.829986572265</v>
      </c>
      <c r="E3" s="16">
        <v>100</v>
      </c>
      <c r="F3" s="4">
        <v>-1.7652712913862723E-2</v>
      </c>
      <c r="G3" s="4">
        <v>-3.1020521294315984E-3</v>
      </c>
      <c r="H3" s="4">
        <v>1.0690106721971349E-2</v>
      </c>
      <c r="I3" s="4">
        <v>-7.441689047941813E-2</v>
      </c>
      <c r="J3" s="17">
        <v>0</v>
      </c>
      <c r="K3">
        <f ca="1"/>
        <v>0</v>
      </c>
      <c r="L3">
        <f ca="1"/>
        <v>0</v>
      </c>
      <c r="M3">
        <f ca="1"/>
        <v>0</v>
      </c>
      <c r="N3">
        <f ca="1"/>
        <v>0</v>
      </c>
      <c r="O3">
        <f ca="1"/>
        <v>0</v>
      </c>
      <c r="P3">
        <f ca="1"/>
        <v>0</v>
      </c>
      <c r="Q3">
        <f ca="1"/>
        <v>0</v>
      </c>
      <c r="R3">
        <f ca="1"/>
        <v>0</v>
      </c>
    </row>
    <row r="4" spans="1:18">
      <c r="A4" s="1">
        <v>44966</v>
      </c>
      <c r="B4" s="16">
        <v>150.63999938964801</v>
      </c>
      <c r="C4" s="16">
        <v>262.96136474609301</v>
      </c>
      <c r="D4" s="16">
        <v>362.5</v>
      </c>
      <c r="E4" s="16">
        <v>95.459999084472599</v>
      </c>
      <c r="F4" s="4">
        <v>-6.9115428539682222E-3</v>
      </c>
      <c r="G4" s="4">
        <v>-1.1659745649762132E-2</v>
      </c>
      <c r="H4" s="4">
        <v>-1.1803796665385224E-2</v>
      </c>
      <c r="I4" s="4">
        <v>-4.5400009155273979E-2</v>
      </c>
      <c r="J4" s="17">
        <v>0</v>
      </c>
      <c r="K4">
        <f ca="1"/>
        <v>0</v>
      </c>
      <c r="L4">
        <f ca="1"/>
        <v>0</v>
      </c>
      <c r="M4">
        <f ca="1"/>
        <v>0</v>
      </c>
      <c r="N4">
        <f ca="1"/>
        <v>0</v>
      </c>
      <c r="O4">
        <f ca="1"/>
        <v>0</v>
      </c>
      <c r="P4">
        <f ca="1"/>
        <v>0</v>
      </c>
      <c r="Q4">
        <f ca="1"/>
        <v>0</v>
      </c>
      <c r="R4">
        <f ca="1"/>
        <v>0</v>
      </c>
    </row>
    <row r="5" spans="1:18">
      <c r="A5" s="1">
        <v>44967</v>
      </c>
      <c r="B5" s="16">
        <v>151.009994506835</v>
      </c>
      <c r="C5" s="16">
        <v>262.44265747070301</v>
      </c>
      <c r="D5" s="16">
        <v>347.35998535156199</v>
      </c>
      <c r="E5" s="16">
        <v>94.860000610351506</v>
      </c>
      <c r="F5" s="4">
        <v>2.4561545319046196E-3</v>
      </c>
      <c r="G5" s="4">
        <v>-1.9725607824208069E-3</v>
      </c>
      <c r="H5" s="4">
        <v>-4.1765557650863427E-2</v>
      </c>
      <c r="I5" s="4">
        <v>-6.2853391983604956E-3</v>
      </c>
      <c r="J5" s="17">
        <v>0</v>
      </c>
      <c r="K5">
        <f ca="1"/>
        <v>0</v>
      </c>
      <c r="L5">
        <f ca="1"/>
        <v>0</v>
      </c>
      <c r="M5">
        <f ca="1"/>
        <v>0</v>
      </c>
      <c r="N5">
        <f ca="1"/>
        <v>0</v>
      </c>
      <c r="O5">
        <f ca="1"/>
        <v>0</v>
      </c>
      <c r="P5">
        <f ca="1"/>
        <v>0</v>
      </c>
      <c r="Q5">
        <f ca="1"/>
        <v>0</v>
      </c>
      <c r="R5">
        <f ca="1"/>
        <v>0</v>
      </c>
    </row>
    <row r="6" spans="1:18">
      <c r="A6" s="1">
        <v>44970</v>
      </c>
      <c r="B6" s="16">
        <v>153.850006103515</v>
      </c>
      <c r="C6" s="16">
        <v>270.64212036132801</v>
      </c>
      <c r="D6" s="16">
        <v>358.57000732421801</v>
      </c>
      <c r="E6" s="16">
        <v>95</v>
      </c>
      <c r="F6" s="4">
        <v>1.8806779021182329E-2</v>
      </c>
      <c r="G6" s="4">
        <v>3.1242874042076485E-2</v>
      </c>
      <c r="H6" s="4">
        <v>3.2272059089680116E-2</v>
      </c>
      <c r="I6" s="4">
        <v>1.4758527171379043E-3</v>
      </c>
      <c r="J6" s="17">
        <v>0</v>
      </c>
      <c r="K6">
        <f ca="1"/>
        <v>0</v>
      </c>
      <c r="L6">
        <f ca="1"/>
        <v>0</v>
      </c>
      <c r="M6">
        <f ca="1"/>
        <v>0</v>
      </c>
      <c r="N6">
        <f ca="1"/>
        <v>0</v>
      </c>
      <c r="O6">
        <f ca="1"/>
        <v>0</v>
      </c>
      <c r="P6">
        <f ca="1"/>
        <v>0</v>
      </c>
      <c r="Q6">
        <f ca="1"/>
        <v>0</v>
      </c>
      <c r="R6">
        <f ca="1"/>
        <v>0</v>
      </c>
    </row>
    <row r="7" spans="1:18">
      <c r="A7" s="1">
        <v>44971</v>
      </c>
      <c r="B7" s="16">
        <v>153.19999694824199</v>
      </c>
      <c r="C7" s="16">
        <v>271.49002075195301</v>
      </c>
      <c r="D7" s="16">
        <v>359.95999145507801</v>
      </c>
      <c r="E7" s="16">
        <v>94.949996948242102</v>
      </c>
      <c r="F7" s="4">
        <v>-4.224953717815727E-3</v>
      </c>
      <c r="G7" s="4">
        <v>3.1329210305217625E-3</v>
      </c>
      <c r="H7" s="4">
        <v>3.8764651322418242E-3</v>
      </c>
      <c r="I7" s="4">
        <v>-5.2634791324102093E-4</v>
      </c>
      <c r="J7" s="17">
        <v>0</v>
      </c>
      <c r="K7">
        <f ca="1"/>
        <v>0</v>
      </c>
      <c r="L7">
        <f ca="1"/>
        <v>0</v>
      </c>
      <c r="M7">
        <f ca="1"/>
        <v>0</v>
      </c>
      <c r="N7">
        <f ca="1"/>
        <v>0</v>
      </c>
      <c r="O7">
        <f ca="1"/>
        <v>0</v>
      </c>
      <c r="P7">
        <f ca="1"/>
        <v>0</v>
      </c>
      <c r="Q7">
        <f ca="1"/>
        <v>0</v>
      </c>
      <c r="R7">
        <f ca="1"/>
        <v>0</v>
      </c>
    </row>
    <row r="8" spans="1:18">
      <c r="A8" s="1">
        <v>44972</v>
      </c>
      <c r="B8" s="16">
        <v>155.33000183105401</v>
      </c>
      <c r="C8" s="16">
        <v>269.32000732421801</v>
      </c>
      <c r="D8" s="16">
        <v>361.42001342773398</v>
      </c>
      <c r="E8" s="16">
        <v>97.099998474121094</v>
      </c>
      <c r="F8" s="4">
        <v>1.3903426404973329E-2</v>
      </c>
      <c r="G8" s="4">
        <v>-7.9929767647616279E-3</v>
      </c>
      <c r="H8" s="4">
        <v>4.0560673611367282E-3</v>
      </c>
      <c r="I8" s="4">
        <v>2.2643513375266044E-2</v>
      </c>
      <c r="J8" s="17">
        <v>0</v>
      </c>
      <c r="K8" s="16">
        <f ca="1"/>
        <v>152.87608991350385</v>
      </c>
      <c r="L8" s="16">
        <f ca="1"/>
        <v>267.11589704241038</v>
      </c>
      <c r="M8" s="16">
        <f ca="1"/>
        <v>359.9414280482697</v>
      </c>
      <c r="N8" s="16">
        <f ca="1"/>
        <v>97.915713718959182</v>
      </c>
      <c r="O8" s="16">
        <f ca="1"/>
        <v>1.3590384996527764E-2</v>
      </c>
      <c r="P8" s="16">
        <f ca="1"/>
        <v>1.538679940498794E-2</v>
      </c>
      <c r="Q8" s="16">
        <f ca="1"/>
        <v>2.477798203291303E-2</v>
      </c>
      <c r="R8" s="16">
        <f ca="1"/>
        <v>3.5783703190873886E-2</v>
      </c>
    </row>
    <row r="9" spans="1:18">
      <c r="A9" s="1">
        <v>44973</v>
      </c>
      <c r="B9" s="16">
        <v>153.71000671386699</v>
      </c>
      <c r="C9" s="16">
        <v>262.14999389648398</v>
      </c>
      <c r="D9" s="16">
        <v>350.70999145507801</v>
      </c>
      <c r="E9" s="16">
        <v>95.779998779296804</v>
      </c>
      <c r="F9" s="4">
        <v>-1.042937679836653E-2</v>
      </c>
      <c r="G9" s="4">
        <v>-2.6622654213366626E-2</v>
      </c>
      <c r="H9" s="4">
        <v>-2.9633173523185175E-2</v>
      </c>
      <c r="I9" s="4">
        <v>-1.3594229820467985E-2</v>
      </c>
      <c r="J9" s="17">
        <v>0</v>
      </c>
      <c r="K9" s="16">
        <f ca="1"/>
        <v>152.77548653738785</v>
      </c>
      <c r="L9" s="16">
        <f ca="1"/>
        <v>266.43853759765591</v>
      </c>
      <c r="M9" s="16">
        <f ca="1"/>
        <v>358.1928536551336</v>
      </c>
      <c r="N9" s="16">
        <f ca="1"/>
        <v>96.16428484235486</v>
      </c>
      <c r="O9" s="16">
        <f ca="1"/>
        <v>1.3144688021055066E-2</v>
      </c>
      <c r="P9" s="16">
        <f ca="1"/>
        <v>1.7639391010519152E-2</v>
      </c>
      <c r="Q9" s="16">
        <f ca="1"/>
        <v>2.5165934468009087E-2</v>
      </c>
      <c r="R9" s="16">
        <f ca="1"/>
        <v>3.2692534792832004E-2</v>
      </c>
    </row>
    <row r="10" spans="1:18">
      <c r="A10" s="1">
        <v>44974</v>
      </c>
      <c r="B10" s="16">
        <v>152.55000305175699</v>
      </c>
      <c r="C10" s="16">
        <v>258.05999755859301</v>
      </c>
      <c r="D10" s="16">
        <v>347.95999145507801</v>
      </c>
      <c r="E10" s="16">
        <v>94.589996337890597</v>
      </c>
      <c r="F10" s="4">
        <v>-7.5467023059165861E-3</v>
      </c>
      <c r="G10" s="4">
        <v>-1.5601741114310341E-2</v>
      </c>
      <c r="H10" s="4">
        <v>-7.8412365401692163E-3</v>
      </c>
      <c r="I10" s="4">
        <v>-1.2424331348638851E-2</v>
      </c>
      <c r="J10" s="17">
        <v>0</v>
      </c>
      <c r="K10" s="16">
        <f ca="1"/>
        <v>152.898572649274</v>
      </c>
      <c r="L10" s="16">
        <f ca="1"/>
        <v>265.2951660156246</v>
      </c>
      <c r="M10" s="16">
        <f ca="1"/>
        <v>355.49714006696405</v>
      </c>
      <c r="N10" s="16">
        <f ca="1"/>
        <v>95.391427176339235</v>
      </c>
      <c r="O10" s="16">
        <f ca="1"/>
        <v>1.1395479371605063E-2</v>
      </c>
      <c r="P10" s="16">
        <f ca="1"/>
        <v>1.8338208550973609E-2</v>
      </c>
      <c r="Q10" s="16">
        <f ca="1"/>
        <v>2.4245392022221653E-2</v>
      </c>
      <c r="R10" s="16">
        <f ca="1"/>
        <v>2.0561830394645347E-2</v>
      </c>
    </row>
    <row r="11" spans="1:18">
      <c r="A11" s="1">
        <v>44978</v>
      </c>
      <c r="B11" s="16">
        <v>148.47999572753901</v>
      </c>
      <c r="C11" s="16">
        <v>252.669998168945</v>
      </c>
      <c r="D11" s="16">
        <v>337.5</v>
      </c>
      <c r="E11" s="16">
        <v>92.050003051757798</v>
      </c>
      <c r="F11" s="4">
        <v>-2.667982460044338E-2</v>
      </c>
      <c r="G11" s="4">
        <v>-2.0886613348216398E-2</v>
      </c>
      <c r="H11" s="4">
        <v>-3.0060902724296179E-2</v>
      </c>
      <c r="I11" s="4">
        <v>-2.6852662908026126E-2</v>
      </c>
      <c r="J11" s="17">
        <v>0</v>
      </c>
      <c r="K11" s="16">
        <f ca="1"/>
        <v>152.59000069754413</v>
      </c>
      <c r="L11" s="16">
        <f ca="1"/>
        <v>263.82497079031771</v>
      </c>
      <c r="M11" s="16">
        <f ca="1"/>
        <v>351.92571149553544</v>
      </c>
      <c r="N11" s="16">
        <f ca="1"/>
        <v>94.904284885951412</v>
      </c>
      <c r="O11" s="16">
        <f ca="1"/>
        <v>1.5392374488541652E-2</v>
      </c>
      <c r="P11" s="16">
        <f ca="1"/>
        <v>1.9270779635546624E-2</v>
      </c>
      <c r="Q11" s="16">
        <f ca="1"/>
        <v>2.5750572336778459E-2</v>
      </c>
      <c r="R11" s="16">
        <f ca="1"/>
        <v>1.5460924666899259E-2</v>
      </c>
    </row>
    <row r="12" spans="1:18">
      <c r="A12" s="1">
        <v>44979</v>
      </c>
      <c r="B12" s="16">
        <v>148.91000366210901</v>
      </c>
      <c r="C12" s="16">
        <v>251.509994506835</v>
      </c>
      <c r="D12" s="16">
        <v>334.88000488281199</v>
      </c>
      <c r="E12" s="16">
        <v>91.800003051757798</v>
      </c>
      <c r="F12" s="4">
        <v>2.8960664530126579E-3</v>
      </c>
      <c r="G12" s="4">
        <v>-4.5909829837984528E-3</v>
      </c>
      <c r="H12" s="4">
        <v>-7.7629484953718464E-3</v>
      </c>
      <c r="I12" s="4">
        <v>-2.7159151734023057E-3</v>
      </c>
      <c r="J12" s="17">
        <v>0</v>
      </c>
      <c r="K12" s="16">
        <f ca="1"/>
        <v>152.29000200544041</v>
      </c>
      <c r="L12" s="16">
        <f ca="1"/>
        <v>262.26316179547945</v>
      </c>
      <c r="M12" s="16">
        <f ca="1"/>
        <v>350.14285714285688</v>
      </c>
      <c r="N12" s="16">
        <f ca="1"/>
        <v>94.467142377580885</v>
      </c>
      <c r="O12" s="16">
        <f ca="1"/>
        <v>1.5414288702582752E-2</v>
      </c>
      <c r="P12" s="16">
        <f ca="1"/>
        <v>1.9215581946100253E-2</v>
      </c>
      <c r="Q12" s="16">
        <f ca="1"/>
        <v>2.1604620328735356E-2</v>
      </c>
      <c r="R12" s="16">
        <f ca="1"/>
        <v>1.5473421872571586E-2</v>
      </c>
    </row>
    <row r="13" spans="1:18">
      <c r="A13" s="1">
        <v>44980</v>
      </c>
      <c r="B13" s="16">
        <v>149.39999389648401</v>
      </c>
      <c r="C13" s="16">
        <v>254.77000427246</v>
      </c>
      <c r="D13" s="16">
        <v>323.64999389648398</v>
      </c>
      <c r="E13" s="16">
        <v>91.069999694824205</v>
      </c>
      <c r="F13" s="4">
        <v>3.2905125399556034E-3</v>
      </c>
      <c r="G13" s="4">
        <v>1.2961750375038994E-2</v>
      </c>
      <c r="H13" s="4">
        <v>-3.3534432700028871E-2</v>
      </c>
      <c r="I13" s="4">
        <v>-7.9521060203234795E-3</v>
      </c>
      <c r="J13" s="17">
        <v>0</v>
      </c>
      <c r="K13" s="16">
        <f ca="1"/>
        <v>151.65428597586455</v>
      </c>
      <c r="L13" s="16">
        <f ca="1"/>
        <v>259.99571663992685</v>
      </c>
      <c r="M13" s="16">
        <f ca="1"/>
        <v>345.15428379603776</v>
      </c>
      <c r="N13" s="16">
        <f ca="1"/>
        <v>93.905713762555777</v>
      </c>
      <c r="O13" s="16">
        <f ca="1"/>
        <v>1.2841934332759406E-2</v>
      </c>
      <c r="P13" s="16">
        <f ca="1"/>
        <v>1.3806768528616287E-2</v>
      </c>
      <c r="Q13" s="16">
        <f ca="1"/>
        <v>1.6356252434752552E-2</v>
      </c>
      <c r="R13" s="16">
        <f ca="1"/>
        <v>1.5268365191909003E-2</v>
      </c>
    </row>
    <row r="14" spans="1:18">
      <c r="A14" s="1">
        <v>44981</v>
      </c>
      <c r="B14" s="16">
        <v>146.71000671386699</v>
      </c>
      <c r="C14" s="16">
        <v>249.22000122070301</v>
      </c>
      <c r="D14" s="16">
        <v>317.14999389648398</v>
      </c>
      <c r="E14" s="16">
        <v>89.349998474121094</v>
      </c>
      <c r="F14" s="4">
        <v>-1.8005269695531956E-2</v>
      </c>
      <c r="G14" s="4">
        <v>-2.1784366128995369E-2</v>
      </c>
      <c r="H14" s="4">
        <v>-2.0083423829999947E-2</v>
      </c>
      <c r="I14" s="4">
        <v>-1.8886584237035708E-2</v>
      </c>
      <c r="J14" s="17">
        <v>0</v>
      </c>
      <c r="K14" s="16">
        <f ca="1"/>
        <v>150.727144513811</v>
      </c>
      <c r="L14" s="16">
        <f ca="1"/>
        <v>256.81428527831974</v>
      </c>
      <c r="M14" s="16">
        <f ca="1"/>
        <v>339.03856985909573</v>
      </c>
      <c r="N14" s="16">
        <f ca="1"/>
        <v>93.105713980538482</v>
      </c>
      <c r="O14" s="16">
        <f ca="1"/>
        <v>1.3876519210307216E-2</v>
      </c>
      <c r="P14" s="16">
        <f ca="1"/>
        <v>1.3512344678736613E-2</v>
      </c>
      <c r="Q14" s="16">
        <f ca="1"/>
        <v>1.4263809216466345E-2</v>
      </c>
      <c r="R14" s="16">
        <f ca="1"/>
        <v>1.5757092510564816E-2</v>
      </c>
    </row>
    <row r="15" spans="1:18">
      <c r="A15" s="1">
        <v>44984</v>
      </c>
      <c r="B15" s="16">
        <v>147.919998168945</v>
      </c>
      <c r="C15" s="16">
        <v>250.16000366210901</v>
      </c>
      <c r="D15" s="16">
        <v>323.02999877929602</v>
      </c>
      <c r="E15" s="16">
        <v>90.099998474121094</v>
      </c>
      <c r="F15" s="4">
        <v>8.2475045989049978E-3</v>
      </c>
      <c r="G15" s="4">
        <v>3.7717776936112557E-3</v>
      </c>
      <c r="H15" s="4">
        <v>1.8540138722913602E-2</v>
      </c>
      <c r="I15" s="4">
        <v>8.3939564947752565E-3</v>
      </c>
      <c r="J15" s="17">
        <v>0</v>
      </c>
      <c r="K15" s="16">
        <f ca="1"/>
        <v>149.66857256208115</v>
      </c>
      <c r="L15" s="16">
        <f ca="1"/>
        <v>254.0771418980184</v>
      </c>
      <c r="M15" s="16">
        <f ca="1"/>
        <v>333.55428205217601</v>
      </c>
      <c r="N15" s="16">
        <f ca="1"/>
        <v>92.105713980538482</v>
      </c>
      <c r="O15" s="16">
        <f ca="1"/>
        <v>1.2627343351045064E-2</v>
      </c>
      <c r="P15" s="16">
        <f ca="1"/>
        <v>1.4777011969248497E-2</v>
      </c>
      <c r="Q15" s="16">
        <f ca="1"/>
        <v>1.8415400846401607E-2</v>
      </c>
      <c r="R15" s="16">
        <f ca="1"/>
        <v>1.136549315776457E-2</v>
      </c>
    </row>
    <row r="16" spans="1:18">
      <c r="A16" s="1">
        <v>44985</v>
      </c>
      <c r="B16" s="16">
        <v>147.41000366210901</v>
      </c>
      <c r="C16" s="16">
        <v>249.419998168945</v>
      </c>
      <c r="D16" s="16">
        <v>322.13000488281199</v>
      </c>
      <c r="E16" s="16">
        <v>90.300003051757798</v>
      </c>
      <c r="F16" s="4">
        <v>-3.447772533457627E-3</v>
      </c>
      <c r="G16" s="4">
        <v>-2.9581287269387913E-3</v>
      </c>
      <c r="H16" s="4">
        <v>-2.7861000522707569E-3</v>
      </c>
      <c r="I16" s="4">
        <v>2.2198066706311526E-3</v>
      </c>
      <c r="J16" s="17">
        <v>0</v>
      </c>
      <c r="K16" s="16">
        <f ca="1"/>
        <v>148.76857212611571</v>
      </c>
      <c r="L16" s="16">
        <f ca="1"/>
        <v>252.2585710797986</v>
      </c>
      <c r="M16" s="16">
        <f ca="1"/>
        <v>329.47142682756652</v>
      </c>
      <c r="N16" s="16">
        <f ca="1"/>
        <v>91.32285744803292</v>
      </c>
      <c r="O16" s="16">
        <f ca="1"/>
        <v>1.2576774099380567E-2</v>
      </c>
      <c r="P16" s="16">
        <f ca="1"/>
        <v>1.3051482083507615E-2</v>
      </c>
      <c r="Q16" s="16">
        <f ca="1"/>
        <v>1.7832937596386E-2</v>
      </c>
      <c r="R16" s="16">
        <f ca="1"/>
        <v>1.220616471046204E-2</v>
      </c>
    </row>
    <row r="17" spans="1:18">
      <c r="A17" s="1">
        <v>44986</v>
      </c>
      <c r="B17" s="16">
        <v>145.30999755859301</v>
      </c>
      <c r="C17" s="16">
        <v>246.27000427246</v>
      </c>
      <c r="D17" s="16">
        <v>313.48001098632801</v>
      </c>
      <c r="E17" s="16">
        <v>90.510002136230398</v>
      </c>
      <c r="F17" s="4">
        <v>-1.4246021649450546E-2</v>
      </c>
      <c r="G17" s="4">
        <v>-1.2629275597826561E-2</v>
      </c>
      <c r="H17" s="4">
        <v>-2.685249360620956E-2</v>
      </c>
      <c r="I17" s="4">
        <v>2.3255711780234556E-3</v>
      </c>
      <c r="J17" s="17">
        <v>0</v>
      </c>
      <c r="K17" s="16">
        <f ca="1"/>
        <v>147.73428562709228</v>
      </c>
      <c r="L17" s="16">
        <f ca="1"/>
        <v>250.57428632463672</v>
      </c>
      <c r="M17" s="16">
        <f ca="1"/>
        <v>324.54571533203085</v>
      </c>
      <c r="N17" s="16">
        <f ca="1"/>
        <v>90.740001133510006</v>
      </c>
      <c r="O17" s="16">
        <f ca="1"/>
        <v>1.2972334156295421E-2</v>
      </c>
      <c r="P17" s="16">
        <f ca="1"/>
        <v>1.2770791375001166E-2</v>
      </c>
      <c r="Q17" s="16">
        <f ca="1"/>
        <v>1.8539640237988868E-2</v>
      </c>
      <c r="R17" s="16">
        <f ca="1"/>
        <v>1.264418207810355E-2</v>
      </c>
    </row>
    <row r="18" spans="1:18">
      <c r="A18" s="1">
        <v>44987</v>
      </c>
      <c r="B18" s="16">
        <v>145.91000366210901</v>
      </c>
      <c r="C18" s="16">
        <v>251.11000061035099</v>
      </c>
      <c r="D18" s="16">
        <v>311.88000488281199</v>
      </c>
      <c r="E18" s="16">
        <v>92.309997558593693</v>
      </c>
      <c r="F18" s="4">
        <v>4.129145369189402E-3</v>
      </c>
      <c r="G18" s="4">
        <v>1.9653210922659925E-2</v>
      </c>
      <c r="H18" s="4">
        <v>-5.1040131665230914E-3</v>
      </c>
      <c r="I18" s="4">
        <v>1.9887254224721485E-2</v>
      </c>
      <c r="J18" s="17">
        <v>0</v>
      </c>
      <c r="K18" s="16">
        <f ca="1"/>
        <v>147.36714390345944</v>
      </c>
      <c r="L18" s="16">
        <f ca="1"/>
        <v>250.35142953055188</v>
      </c>
      <c r="M18" s="16">
        <f ca="1"/>
        <v>320.88571602957546</v>
      </c>
      <c r="N18" s="16">
        <f ca="1"/>
        <v>90.777143205915152</v>
      </c>
      <c r="O18" s="16">
        <f ca="1"/>
        <v>1.0011357988082621E-2</v>
      </c>
      <c r="P18" s="16">
        <f ca="1"/>
        <v>1.4305739722895431E-2</v>
      </c>
      <c r="Q18" s="16">
        <f ca="1"/>
        <v>1.7449409299216831E-2</v>
      </c>
      <c r="R18" s="16">
        <f ca="1"/>
        <v>1.2261613870140412E-2</v>
      </c>
    </row>
    <row r="19" spans="1:18">
      <c r="A19" s="1">
        <v>44988</v>
      </c>
      <c r="B19" s="16">
        <v>151.02999877929599</v>
      </c>
      <c r="C19" s="16">
        <v>255.28999328613199</v>
      </c>
      <c r="D19" s="16">
        <v>315.17999267578102</v>
      </c>
      <c r="E19" s="16">
        <v>94.019996643066406</v>
      </c>
      <c r="F19" s="4">
        <v>3.5090089703812222E-2</v>
      </c>
      <c r="G19" s="4">
        <v>1.664606214655362E-2</v>
      </c>
      <c r="H19" s="4">
        <v>1.0580953383686698E-2</v>
      </c>
      <c r="I19" s="4">
        <v>1.8524527458548601E-2</v>
      </c>
      <c r="J19" s="17">
        <v>0</v>
      </c>
      <c r="K19" s="16">
        <f ca="1"/>
        <v>147.67000034877188</v>
      </c>
      <c r="L19" s="16">
        <f ca="1"/>
        <v>250.8914293561657</v>
      </c>
      <c r="M19" s="16">
        <f ca="1"/>
        <v>318.07142857142816</v>
      </c>
      <c r="N19" s="16">
        <f ca="1"/>
        <v>91.09428514753067</v>
      </c>
      <c r="O19" s="16">
        <f ca="1"/>
        <v>1.7482592901997572E-2</v>
      </c>
      <c r="P19" s="16">
        <f ca="1"/>
        <v>1.5563540893038429E-2</v>
      </c>
      <c r="Q19" s="16">
        <f ca="1"/>
        <v>1.9309480008826846E-2</v>
      </c>
      <c r="R19" s="16">
        <f ca="1"/>
        <v>1.3865769473870141E-2</v>
      </c>
    </row>
    <row r="20" spans="1:18">
      <c r="A20" s="1">
        <v>44991</v>
      </c>
      <c r="B20" s="16">
        <v>153.83000183105401</v>
      </c>
      <c r="C20" s="16">
        <v>256.86999511718699</v>
      </c>
      <c r="D20" s="16">
        <v>312.02999877929602</v>
      </c>
      <c r="E20" s="16">
        <v>95.580001831054602</v>
      </c>
      <c r="F20" s="4">
        <v>1.8539383396604103E-2</v>
      </c>
      <c r="G20" s="4">
        <v>6.1890472506069827E-3</v>
      </c>
      <c r="H20" s="4">
        <v>-9.9942698448036715E-3</v>
      </c>
      <c r="I20" s="4">
        <v>1.6592270194504932E-2</v>
      </c>
      <c r="J20" s="17">
        <v>0</v>
      </c>
      <c r="K20" s="16">
        <f ca="1"/>
        <v>148.30285862513898</v>
      </c>
      <c r="L20" s="16">
        <f ca="1"/>
        <v>251.19142804826956</v>
      </c>
      <c r="M20" s="16">
        <f ca="1"/>
        <v>316.41142926897277</v>
      </c>
      <c r="N20" s="16">
        <f ca="1"/>
        <v>91.738571166992159</v>
      </c>
      <c r="O20" s="16">
        <f ca="1"/>
        <v>1.8564767154492557E-2</v>
      </c>
      <c r="P20" s="16">
        <f ca="1"/>
        <v>1.4985506221733766E-2</v>
      </c>
      <c r="Q20" s="16">
        <f ca="1"/>
        <v>1.5977747295928973E-2</v>
      </c>
      <c r="R20" s="16">
        <f ca="1"/>
        <v>1.3587163871368569E-2</v>
      </c>
    </row>
    <row r="21" spans="1:18">
      <c r="A21" s="1">
        <v>44992</v>
      </c>
      <c r="B21" s="16">
        <v>151.600006103515</v>
      </c>
      <c r="C21" s="16">
        <v>254.14999389648401</v>
      </c>
      <c r="D21" s="16">
        <v>308.47000122070301</v>
      </c>
      <c r="E21" s="16">
        <v>94.169998168945298</v>
      </c>
      <c r="F21" s="4">
        <v>-1.4496494188358189E-2</v>
      </c>
      <c r="G21" s="4">
        <v>-1.058901885158714E-2</v>
      </c>
      <c r="H21" s="4">
        <v>-1.1409151596065148E-2</v>
      </c>
      <c r="I21" s="4">
        <v>-1.4752078207757258E-2</v>
      </c>
      <c r="J21" s="17">
        <v>0</v>
      </c>
      <c r="K21" s="16">
        <f ca="1"/>
        <v>149.00142996651726</v>
      </c>
      <c r="L21" s="16">
        <f ca="1"/>
        <v>251.89571271623828</v>
      </c>
      <c r="M21" s="16">
        <f ca="1"/>
        <v>315.17143031528974</v>
      </c>
      <c r="N21" s="16">
        <f ca="1"/>
        <v>92.427142551967037</v>
      </c>
      <c r="O21" s="16">
        <f ca="1"/>
        <v>1.7896555766078483E-2</v>
      </c>
      <c r="P21" s="16">
        <f ca="1"/>
        <v>1.2507498724417291E-2</v>
      </c>
      <c r="Q21" s="16">
        <f ca="1"/>
        <v>1.4923593704778458E-2</v>
      </c>
      <c r="R21" s="16">
        <f ca="1"/>
        <v>1.2303080073802168E-2</v>
      </c>
    </row>
    <row r="22" spans="1:18">
      <c r="A22" s="1">
        <v>44993</v>
      </c>
      <c r="B22" s="16">
        <v>152.86999511718699</v>
      </c>
      <c r="C22" s="16">
        <v>253.69999694824199</v>
      </c>
      <c r="D22" s="16">
        <v>311.79000854492102</v>
      </c>
      <c r="E22" s="16">
        <v>94.650001525878906</v>
      </c>
      <c r="F22" s="4">
        <v>8.3772359006688557E-3</v>
      </c>
      <c r="G22" s="4">
        <v>-1.7705959435329044E-3</v>
      </c>
      <c r="H22" s="4">
        <v>1.0762820731610168E-2</v>
      </c>
      <c r="I22" s="4">
        <v>5.0972004488356593E-3</v>
      </c>
      <c r="J22" s="17">
        <v>0</v>
      </c>
      <c r="K22" s="16">
        <f ca="1"/>
        <v>149.70857238769472</v>
      </c>
      <c r="L22" s="16">
        <f ca="1"/>
        <v>252.40142604282869</v>
      </c>
      <c r="M22" s="16">
        <f ca="1"/>
        <v>313.56571742466474</v>
      </c>
      <c r="N22" s="16">
        <f ca="1"/>
        <v>93.077142987932447</v>
      </c>
      <c r="O22" s="16">
        <f ca="1"/>
        <v>1.7900750328763686E-2</v>
      </c>
      <c r="P22" s="16">
        <f ca="1"/>
        <v>1.2615788952817668E-2</v>
      </c>
      <c r="Q22" s="16">
        <f ca="1"/>
        <v>1.3163653517351971E-2</v>
      </c>
      <c r="R22" s="16">
        <f ca="1"/>
        <v>1.2330635763838865E-2</v>
      </c>
    </row>
    <row r="23" spans="1:18">
      <c r="A23" s="1">
        <v>44994</v>
      </c>
      <c r="B23" s="16">
        <v>150.58999633789</v>
      </c>
      <c r="C23" s="16">
        <v>252.32000732421801</v>
      </c>
      <c r="D23" s="16">
        <v>297.77999877929602</v>
      </c>
      <c r="E23" s="16">
        <v>92.660003662109304</v>
      </c>
      <c r="F23" s="4">
        <v>-1.491462583974823E-2</v>
      </c>
      <c r="G23" s="4">
        <v>-5.4394546339135985E-3</v>
      </c>
      <c r="H23" s="4">
        <v>-4.493412034275146E-2</v>
      </c>
      <c r="I23" s="4">
        <v>-2.1024805406109848E-2</v>
      </c>
      <c r="J23" s="17">
        <v>0</v>
      </c>
      <c r="K23" s="16">
        <f ca="1"/>
        <v>150.16285705566341</v>
      </c>
      <c r="L23" s="16">
        <f ca="1"/>
        <v>252.81571306501058</v>
      </c>
      <c r="M23" s="16">
        <f ca="1"/>
        <v>310.08714512416242</v>
      </c>
      <c r="N23" s="16">
        <f ca="1"/>
        <v>93.414285932268371</v>
      </c>
      <c r="O23" s="16">
        <f ca="1"/>
        <v>1.925967267444658E-2</v>
      </c>
      <c r="P23" s="16">
        <f ca="1"/>
        <v>1.2814155047530904E-2</v>
      </c>
      <c r="Q23" s="16">
        <f ca="1"/>
        <v>1.9908646353604963E-2</v>
      </c>
      <c r="R23" s="16">
        <f ca="1"/>
        <v>1.6348091205838154E-2</v>
      </c>
    </row>
    <row r="24" spans="1:18">
      <c r="A24" s="1">
        <v>44995</v>
      </c>
      <c r="B24" s="16">
        <v>148.5</v>
      </c>
      <c r="C24" s="16">
        <v>248.58999633789</v>
      </c>
      <c r="D24" s="16">
        <v>292.760009765625</v>
      </c>
      <c r="E24" s="16">
        <v>91.010002136230398</v>
      </c>
      <c r="F24" s="4">
        <v>-1.3878719627567593E-2</v>
      </c>
      <c r="G24" s="4">
        <v>-1.4782858584555858E-2</v>
      </c>
      <c r="H24" s="4">
        <v>-1.6858046323627196E-2</v>
      </c>
      <c r="I24" s="4">
        <v>-1.7807052241177845E-2</v>
      </c>
      <c r="J24" s="17">
        <v>0</v>
      </c>
      <c r="K24" s="16">
        <f ca="1"/>
        <v>150.61857169015016</v>
      </c>
      <c r="L24" s="16">
        <f ca="1"/>
        <v>253.14714050292918</v>
      </c>
      <c r="M24" s="16">
        <f ca="1"/>
        <v>307.12714494977627</v>
      </c>
      <c r="N24" s="16">
        <f ca="1"/>
        <v>93.48571450369694</v>
      </c>
      <c r="O24" s="16">
        <f ca="1"/>
        <v>1.9204606255343516E-2</v>
      </c>
      <c r="P24" s="16">
        <f ca="1"/>
        <v>1.3235103448809089E-2</v>
      </c>
      <c r="Q24" s="16">
        <f ca="1"/>
        <v>1.8915287041052293E-2</v>
      </c>
      <c r="R24" s="16">
        <f ca="1"/>
        <v>1.8305897628144038E-2</v>
      </c>
    </row>
    <row r="25" spans="1:18">
      <c r="A25" s="1">
        <v>44998</v>
      </c>
      <c r="B25" s="16">
        <v>150.47000122070301</v>
      </c>
      <c r="C25" s="16">
        <v>253.919998168945</v>
      </c>
      <c r="D25" s="16">
        <v>293.510009765625</v>
      </c>
      <c r="E25" s="16">
        <v>91.660003662109304</v>
      </c>
      <c r="F25" s="4">
        <v>1.3266001486215595E-2</v>
      </c>
      <c r="G25" s="4">
        <v>2.144093450892659E-2</v>
      </c>
      <c r="H25" s="4">
        <v>2.5618253005266212E-3</v>
      </c>
      <c r="I25" s="4">
        <v>7.1420888981623687E-3</v>
      </c>
      <c r="J25" s="17">
        <v>0</v>
      </c>
      <c r="K25" s="16">
        <f ca="1"/>
        <v>151.26999991280641</v>
      </c>
      <c r="L25" s="16">
        <f ca="1"/>
        <v>253.54856872558543</v>
      </c>
      <c r="M25" s="16">
        <f ca="1"/>
        <v>304.50285993303532</v>
      </c>
      <c r="N25" s="16">
        <f ca="1"/>
        <v>93.392858232770593</v>
      </c>
      <c r="O25" s="16">
        <f ca="1"/>
        <v>1.9580058428782531E-2</v>
      </c>
      <c r="P25" s="16">
        <f ca="1"/>
        <v>1.365623312418259E-2</v>
      </c>
      <c r="Q25" s="16">
        <f ca="1"/>
        <v>1.943148129430429E-2</v>
      </c>
      <c r="R25" s="16">
        <f ca="1"/>
        <v>1.6666677961952019E-2</v>
      </c>
    </row>
    <row r="26" spans="1:18">
      <c r="A26" s="1">
        <v>44999</v>
      </c>
      <c r="B26" s="16">
        <v>152.58999633789</v>
      </c>
      <c r="C26" s="16">
        <v>260.79000854492102</v>
      </c>
      <c r="D26" s="16">
        <v>294.94000244140602</v>
      </c>
      <c r="E26" s="16">
        <v>94.25</v>
      </c>
      <c r="F26" s="4">
        <v>1.4089154648689428E-2</v>
      </c>
      <c r="G26" s="4">
        <v>2.7055806653736081E-2</v>
      </c>
      <c r="H26" s="4">
        <v>4.872040571709757E-3</v>
      </c>
      <c r="I26" s="4">
        <v>2.8256559397906278E-2</v>
      </c>
      <c r="J26" s="17">
        <v>0</v>
      </c>
      <c r="K26" s="16">
        <f ca="1"/>
        <v>151.49285670689127</v>
      </c>
      <c r="L26" s="16">
        <f ca="1"/>
        <v>254.33428519112672</v>
      </c>
      <c r="M26" s="16">
        <f ca="1"/>
        <v>301.61143275669605</v>
      </c>
      <c r="N26" s="16">
        <f ca="1"/>
        <v>93.425715855189679</v>
      </c>
      <c r="O26" s="16">
        <f ca="1"/>
        <v>1.5255393422074532E-2</v>
      </c>
      <c r="P26" s="16">
        <f ca="1"/>
        <v>1.5935392067722581E-2</v>
      </c>
      <c r="Q26" s="16">
        <f ca="1"/>
        <v>1.860067237543701E-2</v>
      </c>
      <c r="R26" s="16">
        <f ca="1"/>
        <v>1.882255138217731E-2</v>
      </c>
    </row>
    <row r="27" spans="1:18">
      <c r="A27" s="1">
        <v>45000</v>
      </c>
      <c r="B27" s="16">
        <v>152.99000549316401</v>
      </c>
      <c r="C27" s="16">
        <v>265.44000244140602</v>
      </c>
      <c r="D27" s="16">
        <v>303.79000854492102</v>
      </c>
      <c r="E27" s="16">
        <v>96.550003051757798</v>
      </c>
      <c r="F27" s="4">
        <v>2.6214638238029053E-3</v>
      </c>
      <c r="G27" s="4">
        <v>1.7830414295507913E-2</v>
      </c>
      <c r="H27" s="4">
        <v>3.0006123381900895E-2</v>
      </c>
      <c r="I27" s="4">
        <v>2.4403215403265843E-2</v>
      </c>
      <c r="J27" s="17">
        <v>0</v>
      </c>
      <c r="K27" s="16">
        <f ca="1"/>
        <v>151.37285723004987</v>
      </c>
      <c r="L27" s="16">
        <f ca="1"/>
        <v>255.55857195172942</v>
      </c>
      <c r="M27" s="16">
        <f ca="1"/>
        <v>300.43429129464249</v>
      </c>
      <c r="N27" s="16">
        <f ca="1"/>
        <v>93.564287458147291</v>
      </c>
      <c r="O27" s="16">
        <f ca="1"/>
        <v>1.3374564989588122E-2</v>
      </c>
      <c r="P27" s="16">
        <f ca="1"/>
        <v>1.6883718629991263E-2</v>
      </c>
      <c r="Q27" s="16">
        <f ca="1"/>
        <v>2.377207064408679E-2</v>
      </c>
      <c r="R27" s="16">
        <f ca="1"/>
        <v>2.0122160323722944E-2</v>
      </c>
    </row>
    <row r="28" spans="1:18">
      <c r="A28" s="1">
        <v>45001</v>
      </c>
      <c r="B28" s="16">
        <v>155.850006103515</v>
      </c>
      <c r="C28" s="16">
        <v>276.20001220703102</v>
      </c>
      <c r="D28" s="16">
        <v>310.05999755859301</v>
      </c>
      <c r="E28" s="16">
        <v>101.06999969482401</v>
      </c>
      <c r="F28" s="4">
        <v>1.869403560795857E-2</v>
      </c>
      <c r="G28" s="4">
        <v>4.0536504169149001E-2</v>
      </c>
      <c r="H28" s="4">
        <v>2.0639220636990974E-2</v>
      </c>
      <c r="I28" s="4">
        <v>4.6815085450004235E-2</v>
      </c>
      <c r="J28" s="17">
        <v>0</v>
      </c>
      <c r="K28" s="16">
        <f ca="1"/>
        <v>151.98000008719274</v>
      </c>
      <c r="L28" s="16">
        <f ca="1"/>
        <v>258.70857456752185</v>
      </c>
      <c r="M28" s="16">
        <f ca="1"/>
        <v>300.6614336286267</v>
      </c>
      <c r="N28" s="16">
        <f ca="1"/>
        <v>94.550001961844245</v>
      </c>
      <c r="O28" s="16">
        <f ca="1"/>
        <v>1.3552536623425199E-2</v>
      </c>
      <c r="P28" s="16">
        <f ca="1"/>
        <v>1.9896027445959395E-2</v>
      </c>
      <c r="Q28" s="16">
        <f ca="1"/>
        <v>2.50620952865994E-2</v>
      </c>
      <c r="R28" s="16">
        <f ca="1"/>
        <v>2.4707941013786244E-2</v>
      </c>
    </row>
    <row r="29" spans="1:18">
      <c r="A29" s="1">
        <v>45002</v>
      </c>
      <c r="B29" s="16">
        <v>155</v>
      </c>
      <c r="C29" s="16">
        <v>279.42999267578102</v>
      </c>
      <c r="D29" s="16">
        <v>303.5</v>
      </c>
      <c r="E29" s="16">
        <v>102.459999084472</v>
      </c>
      <c r="F29" s="4">
        <v>-5.4540010922452531E-3</v>
      </c>
      <c r="G29" s="4">
        <v>1.1694353099191312E-2</v>
      </c>
      <c r="H29" s="4">
        <v>-2.1157187674147981E-2</v>
      </c>
      <c r="I29" s="4">
        <v>1.3752838565796344E-2</v>
      </c>
      <c r="J29" s="17">
        <v>0</v>
      </c>
      <c r="K29" s="16">
        <f ca="1"/>
        <v>152.28428649902315</v>
      </c>
      <c r="L29" s="16">
        <f ca="1"/>
        <v>262.38428824288457</v>
      </c>
      <c r="M29" s="16">
        <f ca="1"/>
        <v>299.47714669363802</v>
      </c>
      <c r="N29" s="16">
        <f ca="1"/>
        <v>95.665715898786104</v>
      </c>
      <c r="O29" s="16">
        <f ca="1"/>
        <v>1.3819806617792734E-2</v>
      </c>
      <c r="P29" s="16">
        <f ca="1"/>
        <v>1.8957518183948509E-2</v>
      </c>
      <c r="Q29" s="16">
        <f ca="1"/>
        <v>2.5881716521702527E-2</v>
      </c>
      <c r="R29" s="16">
        <f ca="1"/>
        <v>2.4614052760076537E-2</v>
      </c>
    </row>
    <row r="30" spans="1:18">
      <c r="A30" s="1">
        <v>45005</v>
      </c>
      <c r="B30" s="16">
        <v>157.39999389648401</v>
      </c>
      <c r="C30" s="16">
        <v>272.23001098632801</v>
      </c>
      <c r="D30" s="16">
        <v>305.13000488281199</v>
      </c>
      <c r="E30" s="16">
        <v>101.930000305175</v>
      </c>
      <c r="F30" s="4">
        <v>1.5483831590219488E-2</v>
      </c>
      <c r="G30" s="4">
        <v>-2.5766674581017668E-2</v>
      </c>
      <c r="H30" s="4">
        <v>5.370691541390471E-3</v>
      </c>
      <c r="I30" s="4">
        <v>-5.172738473870675E-3</v>
      </c>
      <c r="J30" s="17">
        <v>0</v>
      </c>
      <c r="K30" s="16">
        <f ca="1"/>
        <v>153.25714329310799</v>
      </c>
      <c r="L30" s="16">
        <f ca="1"/>
        <v>265.22857448032886</v>
      </c>
      <c r="M30" s="16">
        <f ca="1"/>
        <v>300.5271475655689</v>
      </c>
      <c r="N30" s="16">
        <f ca="1"/>
        <v>96.990001133509779</v>
      </c>
      <c r="O30" s="16">
        <f ca="1"/>
        <v>1.2287835875980063E-2</v>
      </c>
      <c r="P30" s="16">
        <f ca="1"/>
        <v>2.3461822433199477E-2</v>
      </c>
      <c r="Q30" s="16">
        <f ca="1"/>
        <v>1.8370682115689183E-2</v>
      </c>
      <c r="R30" s="16">
        <f ca="1"/>
        <v>2.1658822522372875E-2</v>
      </c>
    </row>
    <row r="31" spans="1:18">
      <c r="A31" s="1">
        <v>45006</v>
      </c>
      <c r="B31" s="16">
        <v>159.27999877929599</v>
      </c>
      <c r="C31" s="16">
        <v>273.77999877929602</v>
      </c>
      <c r="D31" s="16">
        <v>305.79000854492102</v>
      </c>
      <c r="E31" s="16">
        <v>105.83999633789</v>
      </c>
      <c r="F31" s="4">
        <v>1.1944122971493831E-2</v>
      </c>
      <c r="G31" s="4">
        <v>5.6936698027971744E-3</v>
      </c>
      <c r="H31" s="4">
        <v>2.1630244536670062E-3</v>
      </c>
      <c r="I31" s="4">
        <v>3.8359619552718494E-2</v>
      </c>
      <c r="J31" s="17">
        <v>0</v>
      </c>
      <c r="K31" s="16">
        <f ca="1"/>
        <v>154.79714311872175</v>
      </c>
      <c r="L31" s="16">
        <f ca="1"/>
        <v>268.82714625767261</v>
      </c>
      <c r="M31" s="16">
        <f ca="1"/>
        <v>302.38857596261113</v>
      </c>
      <c r="N31" s="16">
        <f ca="1"/>
        <v>99.108571733746885</v>
      </c>
      <c r="O31" s="16">
        <f ca="1"/>
        <v>8.4659692828250154E-3</v>
      </c>
      <c r="P31" s="16">
        <f ca="1"/>
        <v>2.0818043665997422E-2</v>
      </c>
      <c r="Q31" s="16">
        <f ca="1"/>
        <v>1.6101054881680652E-2</v>
      </c>
      <c r="R31" s="16">
        <f ca="1"/>
        <v>1.8052924187269052E-2</v>
      </c>
    </row>
    <row r="32" spans="1:18">
      <c r="A32" s="1">
        <v>45007</v>
      </c>
      <c r="B32" s="16">
        <v>157.83000183105401</v>
      </c>
      <c r="C32" s="16">
        <v>272.29000854492102</v>
      </c>
      <c r="D32" s="16">
        <v>293.89999389648398</v>
      </c>
      <c r="E32" s="16">
        <v>104.220001220703</v>
      </c>
      <c r="F32" s="4">
        <v>-9.103446505239865E-3</v>
      </c>
      <c r="G32" s="4">
        <v>-5.4422903098050313E-3</v>
      </c>
      <c r="H32" s="4">
        <v>-3.8882940306044667E-2</v>
      </c>
      <c r="I32" s="4">
        <v>-1.5306076844666894E-2</v>
      </c>
      <c r="J32" s="17">
        <v>0</v>
      </c>
      <c r="K32" s="16">
        <f ca="1"/>
        <v>155.8485717773433</v>
      </c>
      <c r="L32" s="16">
        <f ca="1"/>
        <v>271.45143345424054</v>
      </c>
      <c r="M32" s="16">
        <f ca="1"/>
        <v>302.44428798130531</v>
      </c>
      <c r="N32" s="16">
        <f ca="1"/>
        <v>100.90285709926026</v>
      </c>
      <c r="O32" s="16">
        <f ca="1"/>
        <v>1.0931193808779284E-2</v>
      </c>
      <c r="P32" s="16">
        <f ca="1"/>
        <v>2.1692787351349808E-2</v>
      </c>
      <c r="Q32" s="16">
        <f ca="1"/>
        <v>2.36002088663472E-2</v>
      </c>
      <c r="R32" s="16">
        <f ca="1"/>
        <v>2.2552170127065105E-2</v>
      </c>
    </row>
    <row r="33" spans="1:18">
      <c r="A33" s="1">
        <v>45008</v>
      </c>
      <c r="B33" s="16">
        <v>158.92999267578099</v>
      </c>
      <c r="C33" s="16">
        <v>277.66000366210898</v>
      </c>
      <c r="D33" s="16">
        <v>320.36999511718699</v>
      </c>
      <c r="E33" s="16">
        <v>106.26000213623</v>
      </c>
      <c r="F33" s="4">
        <v>6.9694660835426525E-3</v>
      </c>
      <c r="G33" s="4">
        <v>1.9721601779971509E-2</v>
      </c>
      <c r="H33" s="4">
        <v>9.0064653863266564E-2</v>
      </c>
      <c r="I33" s="4">
        <v>1.9573986678497191E-2</v>
      </c>
      <c r="J33" s="17">
        <v>0</v>
      </c>
      <c r="K33" s="16">
        <f ca="1"/>
        <v>156.75428553989914</v>
      </c>
      <c r="L33" s="16">
        <f ca="1"/>
        <v>273.86143275669599</v>
      </c>
      <c r="M33" s="16">
        <f ca="1"/>
        <v>306.07714407784539</v>
      </c>
      <c r="N33" s="16">
        <f ca="1"/>
        <v>102.61857169015025</v>
      </c>
      <c r="O33" s="16">
        <f ca="1"/>
        <v>1.0471985791892215E-2</v>
      </c>
      <c r="P33" s="16">
        <f ca="1"/>
        <v>2.0907507778324154E-2</v>
      </c>
      <c r="Q33" s="16">
        <f ca="1"/>
        <v>4.1472097080492584E-2</v>
      </c>
      <c r="R33" s="16">
        <f ca="1"/>
        <v>2.2176511407977703E-2</v>
      </c>
    </row>
    <row r="34" spans="1:18">
      <c r="A34" s="1">
        <v>45009</v>
      </c>
      <c r="B34" s="16">
        <v>160.25</v>
      </c>
      <c r="C34" s="16">
        <v>280.57000732421801</v>
      </c>
      <c r="D34" s="16">
        <v>328.39001464843699</v>
      </c>
      <c r="E34" s="16">
        <v>106.059997558593</v>
      </c>
      <c r="F34" s="4">
        <v>8.3055897882775565E-3</v>
      </c>
      <c r="G34" s="4">
        <v>1.0480456759088375E-2</v>
      </c>
      <c r="H34" s="4">
        <v>2.5033616298294037E-2</v>
      </c>
      <c r="I34" s="4">
        <v>-1.8822188369673754E-3</v>
      </c>
      <c r="J34" s="17">
        <v>0</v>
      </c>
      <c r="K34" s="16">
        <f ca="1"/>
        <v>157.79142761230429</v>
      </c>
      <c r="L34" s="16">
        <f ca="1"/>
        <v>276.02286202566916</v>
      </c>
      <c r="M34" s="16">
        <f ca="1"/>
        <v>309.59143066406199</v>
      </c>
      <c r="N34" s="16">
        <f ca="1"/>
        <v>103.97714233398385</v>
      </c>
      <c r="O34" s="16">
        <f ca="1"/>
        <v>1.0397372157189338E-2</v>
      </c>
      <c r="P34" s="16">
        <f ca="1"/>
        <v>2.0582773188279429E-2</v>
      </c>
      <c r="Q34" s="16">
        <f ca="1"/>
        <v>4.1165729140827396E-2</v>
      </c>
      <c r="R34" s="16">
        <f ca="1"/>
        <v>2.3020071911775117E-2</v>
      </c>
    </row>
    <row r="35" spans="1:18">
      <c r="A35" s="1">
        <v>45012</v>
      </c>
      <c r="B35" s="16">
        <v>158.27999877929599</v>
      </c>
      <c r="C35" s="16">
        <v>276.38000488281199</v>
      </c>
      <c r="D35" s="16">
        <v>327.66000366210898</v>
      </c>
      <c r="E35" s="16">
        <v>103.059997558593</v>
      </c>
      <c r="F35" s="4">
        <v>-1.2293299349167008E-2</v>
      </c>
      <c r="G35" s="4">
        <v>-1.4933892903827739E-2</v>
      </c>
      <c r="H35" s="4">
        <v>-2.2229999505604114E-3</v>
      </c>
      <c r="I35" s="4">
        <v>-2.8285876570406709E-2</v>
      </c>
      <c r="J35" s="17">
        <v>0</v>
      </c>
      <c r="K35" s="16">
        <f ca="1"/>
        <v>158.13856942313015</v>
      </c>
      <c r="L35" s="16">
        <f ca="1"/>
        <v>276.04857526506646</v>
      </c>
      <c r="M35" s="16">
        <f ca="1"/>
        <v>312.10571725027859</v>
      </c>
      <c r="N35" s="16">
        <f ca="1"/>
        <v>104.26142774309371</v>
      </c>
      <c r="O35" s="16">
        <f ca="1"/>
        <v>1.1013720903976129E-2</v>
      </c>
      <c r="P35" s="16">
        <f ca="1"/>
        <v>1.624920158490676E-2</v>
      </c>
      <c r="Q35" s="16">
        <f ca="1"/>
        <v>4.1262714715220319E-2</v>
      </c>
      <c r="R35" s="16">
        <f ca="1"/>
        <v>2.2528394233472086E-2</v>
      </c>
    </row>
    <row r="36" spans="1:18">
      <c r="A36" s="1">
        <v>45013</v>
      </c>
      <c r="B36" s="16">
        <v>157.64999389648401</v>
      </c>
      <c r="C36" s="16">
        <v>275.23001098632801</v>
      </c>
      <c r="D36" s="16">
        <v>323.51998901367102</v>
      </c>
      <c r="E36" s="16">
        <v>101.36000061035099</v>
      </c>
      <c r="F36" s="4">
        <v>-3.980318976944508E-3</v>
      </c>
      <c r="G36" s="4">
        <v>-4.1609156819125692E-3</v>
      </c>
      <c r="H36" s="4">
        <v>-1.2635093090907823E-2</v>
      </c>
      <c r="I36" s="4">
        <v>-1.6495216267354396E-2</v>
      </c>
      <c r="J36" s="17">
        <v>0</v>
      </c>
      <c r="K36" s="16">
        <f ca="1"/>
        <v>158.51713997977072</v>
      </c>
      <c r="L36" s="16">
        <f ca="1"/>
        <v>275.44857788085886</v>
      </c>
      <c r="M36" s="16">
        <f ca="1"/>
        <v>314.96571568080299</v>
      </c>
      <c r="N36" s="16">
        <f ca="1"/>
        <v>104.10428510393356</v>
      </c>
      <c r="O36" s="16">
        <f ca="1"/>
        <v>1.0854524586203031E-2</v>
      </c>
      <c r="P36" s="16">
        <f ca="1"/>
        <v>1.5467265861885345E-2</v>
      </c>
      <c r="Q36" s="16">
        <f ca="1"/>
        <v>4.0353278279711011E-2</v>
      </c>
      <c r="R36" s="16">
        <f ca="1"/>
        <v>2.3019001074661101E-2</v>
      </c>
    </row>
    <row r="37" spans="1:18">
      <c r="A37" s="1">
        <v>45014</v>
      </c>
      <c r="B37" s="16">
        <v>160.77000427246</v>
      </c>
      <c r="C37" s="16">
        <v>280.510009765625</v>
      </c>
      <c r="D37" s="16">
        <v>332.02999877929602</v>
      </c>
      <c r="E37" s="16">
        <v>101.900001525878</v>
      </c>
      <c r="F37" s="4">
        <v>1.979074212983889E-2</v>
      </c>
      <c r="G37" s="4">
        <v>1.9183950036463449E-2</v>
      </c>
      <c r="H37" s="4">
        <v>2.6304432661393928E-2</v>
      </c>
      <c r="I37" s="4">
        <v>5.3275543831425853E-3</v>
      </c>
      <c r="J37" s="17">
        <v>0</v>
      </c>
      <c r="K37" s="16">
        <f ca="1"/>
        <v>158.99857003348157</v>
      </c>
      <c r="L37" s="16">
        <f ca="1"/>
        <v>276.63143484932988</v>
      </c>
      <c r="M37" s="16">
        <f ca="1"/>
        <v>318.80857195172928</v>
      </c>
      <c r="N37" s="16">
        <f ca="1"/>
        <v>104.09999956403399</v>
      </c>
      <c r="O37" s="16">
        <f ca="1"/>
        <v>1.1796032956233347E-2</v>
      </c>
      <c r="P37" s="16">
        <f ca="1"/>
        <v>1.3139711437342627E-2</v>
      </c>
      <c r="Q37" s="16">
        <f ca="1"/>
        <v>4.0740554424470166E-2</v>
      </c>
      <c r="R37" s="16">
        <f ca="1"/>
        <v>2.3067825823894383E-2</v>
      </c>
    </row>
    <row r="38" spans="1:18">
      <c r="A38" s="1">
        <v>45015</v>
      </c>
      <c r="B38" s="16">
        <v>162.36000061035099</v>
      </c>
      <c r="C38" s="16">
        <v>284.04998779296801</v>
      </c>
      <c r="D38" s="16">
        <v>338.42999267578102</v>
      </c>
      <c r="E38" s="16">
        <v>101.31999969482401</v>
      </c>
      <c r="F38" s="4">
        <v>9.8898817916082127E-3</v>
      </c>
      <c r="G38" s="4">
        <v>1.2619792178898637E-2</v>
      </c>
      <c r="H38" s="4">
        <v>1.9275348372178813E-2</v>
      </c>
      <c r="I38" s="4">
        <v>-5.6918726434630473E-3</v>
      </c>
      <c r="J38" s="17">
        <v>0</v>
      </c>
      <c r="K38" s="16">
        <f ca="1"/>
        <v>159.43857029506086</v>
      </c>
      <c r="L38" s="16">
        <f ca="1"/>
        <v>278.09857613699728</v>
      </c>
      <c r="M38" s="16">
        <f ca="1"/>
        <v>323.47142682756646</v>
      </c>
      <c r="N38" s="16">
        <f ca="1"/>
        <v>103.45428575788171</v>
      </c>
      <c r="O38" s="16">
        <f ca="1"/>
        <v>1.1562295708643078E-2</v>
      </c>
      <c r="P38" s="16">
        <f ca="1"/>
        <v>1.3512092638463811E-2</v>
      </c>
      <c r="Q38" s="16">
        <f ca="1"/>
        <v>4.0506398394058181E-2</v>
      </c>
      <c r="R38" s="16">
        <f ca="1"/>
        <v>1.5772992840291811E-2</v>
      </c>
    </row>
    <row r="39" spans="1:18">
      <c r="A39" s="1">
        <v>45016</v>
      </c>
      <c r="B39" s="16">
        <v>164.89999389648401</v>
      </c>
      <c r="C39" s="16">
        <v>288.29998779296801</v>
      </c>
      <c r="D39" s="16">
        <v>345.48001098632801</v>
      </c>
      <c r="E39" s="16">
        <v>104</v>
      </c>
      <c r="F39" s="4">
        <v>1.5644205941023337E-2</v>
      </c>
      <c r="G39" s="4">
        <v>1.4962155193253057E-2</v>
      </c>
      <c r="H39" s="4">
        <v>2.0831541125555519E-2</v>
      </c>
      <c r="I39" s="4">
        <v>2.6450851887565685E-2</v>
      </c>
      <c r="J39" s="17">
        <v>0</v>
      </c>
      <c r="K39" s="16">
        <f ca="1"/>
        <v>160.44856916155086</v>
      </c>
      <c r="L39" s="16">
        <f ca="1"/>
        <v>280.38571602957546</v>
      </c>
      <c r="M39" s="16">
        <f ca="1"/>
        <v>330.8400006975441</v>
      </c>
      <c r="N39" s="16">
        <f ca="1"/>
        <v>103.422857012067</v>
      </c>
      <c r="O39" s="16">
        <f ca="1"/>
        <v>1.1090991535945819E-2</v>
      </c>
      <c r="P39" s="16">
        <f ca="1"/>
        <v>1.2985848136526205E-2</v>
      </c>
      <c r="Q39" s="16">
        <f ca="1"/>
        <v>3.2743433744481631E-2</v>
      </c>
      <c r="R39" s="16">
        <f ca="1"/>
        <v>1.9231704877562723E-2</v>
      </c>
    </row>
    <row r="40" spans="1:18">
      <c r="A40" s="1">
        <v>45019</v>
      </c>
      <c r="B40" s="16">
        <v>166.169998168945</v>
      </c>
      <c r="C40" s="16">
        <v>287.23001098632801</v>
      </c>
      <c r="D40" s="16">
        <v>348.27999877929602</v>
      </c>
      <c r="E40" s="16">
        <v>104.91000366210901</v>
      </c>
      <c r="F40" s="4">
        <v>7.7016635504441044E-3</v>
      </c>
      <c r="G40" s="4">
        <v>-3.7113314323424795E-3</v>
      </c>
      <c r="H40" s="4">
        <v>8.1046303807106312E-3</v>
      </c>
      <c r="I40" s="4">
        <v>8.7500352125866598E-3</v>
      </c>
      <c r="J40" s="17">
        <v>0</v>
      </c>
      <c r="K40" s="16">
        <f ca="1"/>
        <v>161.4828556605743</v>
      </c>
      <c r="L40" s="16">
        <f ca="1"/>
        <v>281.75285993303532</v>
      </c>
      <c r="M40" s="16">
        <f ca="1"/>
        <v>334.82714407784539</v>
      </c>
      <c r="N40" s="16">
        <f ca="1"/>
        <v>103.23000008719258</v>
      </c>
      <c r="O40" s="16">
        <f ca="1"/>
        <v>1.1101449701173055E-2</v>
      </c>
      <c r="P40" s="16">
        <f ca="1"/>
        <v>1.2554219781167103E-2</v>
      </c>
      <c r="Q40" s="16">
        <f ca="1"/>
        <v>1.4886828060890197E-2</v>
      </c>
      <c r="R40" s="16">
        <f ca="1"/>
        <v>1.7761076169581051E-2</v>
      </c>
    </row>
    <row r="41" spans="1:18">
      <c r="A41" s="1">
        <v>45020</v>
      </c>
      <c r="B41" s="16">
        <v>165.63000488281199</v>
      </c>
      <c r="C41" s="16">
        <v>287.17999267578102</v>
      </c>
      <c r="D41" s="16">
        <v>346.75</v>
      </c>
      <c r="E41" s="16">
        <v>105.120002746582</v>
      </c>
      <c r="F41" s="4">
        <v>-3.2496436906980231E-3</v>
      </c>
      <c r="G41" s="4">
        <v>-1.7414026610673705E-4</v>
      </c>
      <c r="H41" s="4">
        <v>-4.3930136231152828E-3</v>
      </c>
      <c r="I41" s="4">
        <v>2.0017069597038084E-3</v>
      </c>
      <c r="J41" s="17">
        <v>0</v>
      </c>
      <c r="K41" s="16">
        <f ca="1"/>
        <v>162.2514277866903</v>
      </c>
      <c r="L41" s="16">
        <f ca="1"/>
        <v>282.69714355468716</v>
      </c>
      <c r="M41" s="16">
        <f ca="1"/>
        <v>337.44999912806873</v>
      </c>
      <c r="N41" s="16">
        <f ca="1"/>
        <v>103.09571511404815</v>
      </c>
      <c r="O41" s="16">
        <f ca="1"/>
        <v>1.1624084264247544E-2</v>
      </c>
      <c r="P41" s="16">
        <f ca="1"/>
        <v>1.2412800100947701E-2</v>
      </c>
      <c r="Q41" s="16">
        <f ca="1"/>
        <v>1.477989346655117E-2</v>
      </c>
      <c r="R41" s="16">
        <f ca="1"/>
        <v>1.7814638714421818E-2</v>
      </c>
    </row>
    <row r="42" spans="1:18">
      <c r="A42" s="1">
        <v>45021</v>
      </c>
      <c r="B42" s="16">
        <v>163.759994506835</v>
      </c>
      <c r="C42" s="16">
        <v>284.33999633789</v>
      </c>
      <c r="D42" s="16">
        <v>342.350006103515</v>
      </c>
      <c r="E42" s="16">
        <v>104.949996948242</v>
      </c>
      <c r="F42" s="4">
        <v>-1.1290287513425312E-2</v>
      </c>
      <c r="G42" s="4">
        <v>-9.8892555551295391E-3</v>
      </c>
      <c r="H42" s="4">
        <v>-1.2689239787988416E-2</v>
      </c>
      <c r="I42" s="4">
        <v>-1.6172545081628575E-3</v>
      </c>
      <c r="J42" s="17">
        <v>0</v>
      </c>
      <c r="K42" s="16">
        <f ca="1"/>
        <v>163.03428431919585</v>
      </c>
      <c r="L42" s="16">
        <f ca="1"/>
        <v>283.83428519112687</v>
      </c>
      <c r="M42" s="16">
        <f ca="1"/>
        <v>339.54857090541242</v>
      </c>
      <c r="N42" s="16">
        <f ca="1"/>
        <v>103.36571502685514</v>
      </c>
      <c r="O42" s="16">
        <f ca="1"/>
        <v>1.1382124084132124E-2</v>
      </c>
      <c r="P42" s="16">
        <f ca="1"/>
        <v>1.1264424617797739E-2</v>
      </c>
      <c r="Q42" s="16">
        <f ca="1"/>
        <v>1.6413201834318127E-2</v>
      </c>
      <c r="R42" s="16">
        <f ca="1"/>
        <v>1.3326738487758375E-2</v>
      </c>
    </row>
    <row r="43" spans="1:18">
      <c r="A43" s="1">
        <v>45022</v>
      </c>
      <c r="B43" s="16">
        <v>164.66000366210901</v>
      </c>
      <c r="C43" s="16">
        <v>291.600006103515</v>
      </c>
      <c r="D43" s="16">
        <v>339.329986572265</v>
      </c>
      <c r="E43" s="16">
        <v>108.900001525878</v>
      </c>
      <c r="F43" s="4">
        <v>5.4959036728376987E-3</v>
      </c>
      <c r="G43" s="4">
        <v>2.5532847503443312E-2</v>
      </c>
      <c r="H43" s="4">
        <v>-8.8214385202518564E-3</v>
      </c>
      <c r="I43" s="4">
        <v>3.7637014697427862E-2</v>
      </c>
      <c r="J43" s="17">
        <v>0</v>
      </c>
      <c r="K43" s="16">
        <f ca="1"/>
        <v>164.03571428571371</v>
      </c>
      <c r="L43" s="16">
        <f ca="1"/>
        <v>286.17285592215359</v>
      </c>
      <c r="M43" s="16">
        <f ca="1"/>
        <v>341.80714198521162</v>
      </c>
      <c r="N43" s="16">
        <f ca="1"/>
        <v>104.44285801478757</v>
      </c>
      <c r="O43" s="16">
        <f ca="1"/>
        <v>1.0688192291254893E-2</v>
      </c>
      <c r="P43" s="16">
        <f ca="1"/>
        <v>1.3072762950839881E-2</v>
      </c>
      <c r="Q43" s="16">
        <f ca="1"/>
        <v>1.5724929244742614E-2</v>
      </c>
      <c r="R43" s="16">
        <f ca="1"/>
        <v>1.5821033047761848E-2</v>
      </c>
    </row>
    <row r="44" spans="1:18">
      <c r="A44" s="1">
        <v>45026</v>
      </c>
      <c r="B44" s="16">
        <v>162.02999877929599</v>
      </c>
      <c r="C44" s="16">
        <v>289.39001464843699</v>
      </c>
      <c r="D44" s="16">
        <v>338.989990234375</v>
      </c>
      <c r="E44" s="16">
        <v>106.949996948242</v>
      </c>
      <c r="F44" s="4">
        <v>-1.5972335869795851E-2</v>
      </c>
      <c r="G44" s="4">
        <v>-7.5788457092607064E-3</v>
      </c>
      <c r="H44" s="4">
        <v>-1.0019637265908932E-3</v>
      </c>
      <c r="I44" s="4">
        <v>-1.7906377872479728E-2</v>
      </c>
      <c r="J44" s="17">
        <v>0</v>
      </c>
      <c r="K44" s="16">
        <f ca="1"/>
        <v>164.21571350097602</v>
      </c>
      <c r="L44" s="16">
        <f ca="1"/>
        <v>287.44142804826959</v>
      </c>
      <c r="M44" s="16">
        <f ca="1"/>
        <v>342.80142647879433</v>
      </c>
      <c r="N44" s="16">
        <f ca="1"/>
        <v>105.16428593226814</v>
      </c>
      <c r="O44" s="16">
        <f ca="1"/>
        <v>1.1658806531046647E-2</v>
      </c>
      <c r="P44" s="16">
        <f ca="1"/>
        <v>1.3291484633092912E-2</v>
      </c>
      <c r="Q44" s="16">
        <f ca="1"/>
        <v>1.3325825353315465E-2</v>
      </c>
      <c r="R44" s="16">
        <f ca="1"/>
        <v>1.9151242722205364E-2</v>
      </c>
    </row>
    <row r="45" spans="1:18">
      <c r="A45" s="1">
        <v>45027</v>
      </c>
      <c r="B45" s="16">
        <v>160.80000305175699</v>
      </c>
      <c r="C45" s="16">
        <v>282.829986572265</v>
      </c>
      <c r="D45" s="16">
        <v>338.20999145507801</v>
      </c>
      <c r="E45" s="16">
        <v>106.120002746582</v>
      </c>
      <c r="F45" s="4">
        <v>-7.5911605061135257E-3</v>
      </c>
      <c r="G45" s="4">
        <v>-2.2668467272934034E-2</v>
      </c>
      <c r="H45" s="4">
        <v>-2.3009492957526412E-3</v>
      </c>
      <c r="I45" s="4">
        <v>-7.7605818171427865E-3</v>
      </c>
      <c r="J45" s="17">
        <v>0</v>
      </c>
      <c r="K45" s="16">
        <f ca="1"/>
        <v>163.99285670689113</v>
      </c>
      <c r="L45" s="16">
        <f ca="1"/>
        <v>287.26714215959771</v>
      </c>
      <c r="M45" s="16">
        <f ca="1"/>
        <v>342.76999773297956</v>
      </c>
      <c r="N45" s="16">
        <f ca="1"/>
        <v>105.85000065394786</v>
      </c>
      <c r="O45" s="16">
        <f ca="1"/>
        <v>1.1348859933379142E-2</v>
      </c>
      <c r="P45" s="16">
        <f ca="1"/>
        <v>1.610856521515729E-2</v>
      </c>
      <c r="Q45" s="16">
        <f ca="1"/>
        <v>1.1284644014111079E-2</v>
      </c>
      <c r="R45" s="16">
        <f ca="1"/>
        <v>1.9395743727421727E-2</v>
      </c>
    </row>
    <row r="46" spans="1:18">
      <c r="A46" s="1">
        <v>45028</v>
      </c>
      <c r="B46" s="16">
        <v>160.100006103515</v>
      </c>
      <c r="C46" s="16">
        <v>283.489990234375</v>
      </c>
      <c r="D46" s="16">
        <v>331.02999877929602</v>
      </c>
      <c r="E46" s="16">
        <v>105.220001220703</v>
      </c>
      <c r="F46" s="4">
        <v>-4.3532147696333512E-3</v>
      </c>
      <c r="G46" s="4">
        <v>2.3335703194307111E-3</v>
      </c>
      <c r="H46" s="4">
        <v>-2.1229392558426707E-2</v>
      </c>
      <c r="I46" s="4">
        <v>-8.4809791046485117E-3</v>
      </c>
      <c r="J46" s="17">
        <v>0</v>
      </c>
      <c r="K46" s="16">
        <f ca="1"/>
        <v>163.30714416503844</v>
      </c>
      <c r="L46" s="16">
        <f ca="1"/>
        <v>286.5799996512273</v>
      </c>
      <c r="M46" s="16">
        <f ca="1"/>
        <v>340.70571027483214</v>
      </c>
      <c r="N46" s="16">
        <f ca="1"/>
        <v>106.02428654261972</v>
      </c>
      <c r="O46" s="16">
        <f ca="1"/>
        <v>8.5336978746670244E-3</v>
      </c>
      <c r="P46" s="16">
        <f ca="1"/>
        <v>1.4736494037185383E-2</v>
      </c>
      <c r="Q46" s="16">
        <f ca="1"/>
        <v>9.3524640402718601E-3</v>
      </c>
      <c r="R46" s="16">
        <f ca="1"/>
        <v>1.7933940966392111E-2</v>
      </c>
    </row>
    <row r="47" spans="1:18">
      <c r="A47" s="1">
        <v>45029</v>
      </c>
      <c r="B47" s="16">
        <v>165.55999755859301</v>
      </c>
      <c r="C47" s="16">
        <v>289.83999633789</v>
      </c>
      <c r="D47" s="16">
        <v>346.19000244140602</v>
      </c>
      <c r="E47" s="16">
        <v>108.19000244140599</v>
      </c>
      <c r="F47" s="4">
        <v>3.4103630524209727E-2</v>
      </c>
      <c r="G47" s="4">
        <v>2.2399401468337965E-2</v>
      </c>
      <c r="H47" s="4">
        <v>4.5796464725293529E-2</v>
      </c>
      <c r="I47" s="4">
        <v>2.8226584168853153E-2</v>
      </c>
      <c r="J47" s="17">
        <v>0</v>
      </c>
      <c r="K47" s="16">
        <f ca="1"/>
        <v>163.22000122070244</v>
      </c>
      <c r="L47" s="16">
        <f ca="1"/>
        <v>286.95285470145041</v>
      </c>
      <c r="M47" s="16">
        <f ca="1"/>
        <v>340.40713936941927</v>
      </c>
      <c r="N47" s="16">
        <f ca="1"/>
        <v>106.492857796805</v>
      </c>
      <c r="O47" s="16">
        <f ca="1"/>
        <v>1.6642410210738479E-2</v>
      </c>
      <c r="P47" s="16">
        <f ca="1"/>
        <v>1.7388086452424751E-2</v>
      </c>
      <c r="Q47" s="16">
        <f ca="1"/>
        <v>2.1638544712231783E-2</v>
      </c>
      <c r="R47" s="16">
        <f ca="1"/>
        <v>2.0516240789204002E-2</v>
      </c>
    </row>
    <row r="48" spans="1:18">
      <c r="A48" s="1">
        <v>45030</v>
      </c>
      <c r="B48" s="16">
        <v>165.21000671386699</v>
      </c>
      <c r="C48" s="16">
        <v>286.14001464843699</v>
      </c>
      <c r="D48" s="16">
        <v>338.63000488281199</v>
      </c>
      <c r="E48" s="16">
        <v>109.459999084472</v>
      </c>
      <c r="F48" s="4">
        <v>-2.1139819394002668E-3</v>
      </c>
      <c r="G48" s="4">
        <v>-1.2765600801138755E-2</v>
      </c>
      <c r="H48" s="4">
        <v>-2.1837711965335016E-2</v>
      </c>
      <c r="I48" s="4">
        <v>1.1738576711409321E-2</v>
      </c>
      <c r="J48" s="17">
        <v>0</v>
      </c>
      <c r="K48" s="16">
        <f ca="1"/>
        <v>163.16000148228173</v>
      </c>
      <c r="L48" s="16">
        <f ca="1"/>
        <v>286.80428641182982</v>
      </c>
      <c r="M48" s="16">
        <f ca="1"/>
        <v>339.24714006696382</v>
      </c>
      <c r="N48" s="16">
        <f ca="1"/>
        <v>107.11285727364644</v>
      </c>
      <c r="O48" s="16">
        <f ca="1"/>
        <v>1.6615607391913711E-2</v>
      </c>
      <c r="P48" s="16">
        <f ca="1"/>
        <v>1.82124883084307E-2</v>
      </c>
      <c r="Q48" s="16">
        <f ca="1"/>
        <v>2.3095268321461013E-2</v>
      </c>
      <c r="R48" s="16">
        <f ca="1"/>
        <v>2.0641540018676064E-2</v>
      </c>
    </row>
    <row r="49" spans="1:18">
      <c r="A49" s="1">
        <v>45033</v>
      </c>
      <c r="B49" s="16">
        <v>165.22999572753901</v>
      </c>
      <c r="C49" s="16">
        <v>288.79998779296801</v>
      </c>
      <c r="D49" s="16">
        <v>332.72000122070301</v>
      </c>
      <c r="E49" s="16">
        <v>106.419998168945</v>
      </c>
      <c r="F49" s="4">
        <v>1.2099154324607397E-4</v>
      </c>
      <c r="G49" s="4">
        <v>9.2960544081861496E-3</v>
      </c>
      <c r="H49" s="4">
        <v>-1.7452687525886024E-2</v>
      </c>
      <c r="I49" s="4">
        <v>-2.7772710953350099E-2</v>
      </c>
      <c r="J49" s="17">
        <v>0</v>
      </c>
      <c r="K49" s="16">
        <f ca="1"/>
        <v>163.37000165666799</v>
      </c>
      <c r="L49" s="16">
        <f ca="1"/>
        <v>287.44142804826959</v>
      </c>
      <c r="M49" s="16">
        <f ca="1"/>
        <v>337.87142508370505</v>
      </c>
      <c r="N49" s="16">
        <f ca="1"/>
        <v>107.32285744803256</v>
      </c>
      <c r="O49" s="16">
        <f ca="1"/>
        <v>1.5895620860446925E-2</v>
      </c>
      <c r="P49" s="16">
        <f ca="1"/>
        <v>1.7984514309805834E-2</v>
      </c>
      <c r="Q49" s="16">
        <f ca="1"/>
        <v>2.3489821232095795E-2</v>
      </c>
      <c r="R49" s="16">
        <f ca="1"/>
        <v>2.4290137076800347E-2</v>
      </c>
    </row>
    <row r="50" spans="1:18">
      <c r="A50" s="1">
        <v>45034</v>
      </c>
      <c r="B50" s="16">
        <v>166.47000122070301</v>
      </c>
      <c r="C50" s="16">
        <v>288.36999511718699</v>
      </c>
      <c r="D50" s="16">
        <v>333.70001220703102</v>
      </c>
      <c r="E50" s="16">
        <v>105.120002746582</v>
      </c>
      <c r="F50" s="4">
        <v>7.5047238711349884E-3</v>
      </c>
      <c r="G50" s="4">
        <v>-1.4888943696537149E-3</v>
      </c>
      <c r="H50" s="4">
        <v>2.9454525809464727E-3</v>
      </c>
      <c r="I50" s="4">
        <v>-1.2215706114739988E-2</v>
      </c>
      <c r="J50" s="17">
        <v>0</v>
      </c>
      <c r="K50" s="16">
        <f ca="1"/>
        <v>163.62857273646711</v>
      </c>
      <c r="L50" s="16">
        <f ca="1"/>
        <v>286.9799979073656</v>
      </c>
      <c r="M50" s="16">
        <f ca="1"/>
        <v>337.06714303152876</v>
      </c>
      <c r="N50" s="16">
        <f ca="1"/>
        <v>106.78285762241886</v>
      </c>
      <c r="O50" s="16">
        <f ca="1"/>
        <v>1.6000013294150586E-2</v>
      </c>
      <c r="P50" s="16">
        <f ca="1"/>
        <v>1.4800915475512294E-2</v>
      </c>
      <c r="Q50" s="16">
        <f ca="1"/>
        <v>2.3494571084133931E-2</v>
      </c>
      <c r="R50" s="16">
        <f ca="1"/>
        <v>1.8890311056764329E-2</v>
      </c>
    </row>
    <row r="51" spans="1:18">
      <c r="A51" s="1">
        <v>45035</v>
      </c>
      <c r="B51" s="16">
        <v>167.63000488281199</v>
      </c>
      <c r="C51" s="16">
        <v>288.45001220703102</v>
      </c>
      <c r="D51" s="16">
        <v>323.11999511718699</v>
      </c>
      <c r="E51" s="16">
        <v>105.01999664306599</v>
      </c>
      <c r="F51" s="4">
        <v>6.9682444500680507E-3</v>
      </c>
      <c r="G51" s="4">
        <v>2.7748063667831779E-4</v>
      </c>
      <c r="H51" s="4">
        <v>-3.1705174416595705E-2</v>
      </c>
      <c r="I51" s="4">
        <v>-9.5135179702288131E-4</v>
      </c>
      <c r="J51" s="17">
        <v>0</v>
      </c>
      <c r="K51" s="16">
        <f ca="1"/>
        <v>164.42857360839798</v>
      </c>
      <c r="L51" s="16">
        <f ca="1"/>
        <v>286.84571184430757</v>
      </c>
      <c r="M51" s="16">
        <f ca="1"/>
        <v>334.80000087193042</v>
      </c>
      <c r="N51" s="16">
        <f ca="1"/>
        <v>106.50714329310799</v>
      </c>
      <c r="O51" s="16">
        <f ca="1"/>
        <v>1.4009423949048605E-2</v>
      </c>
      <c r="P51" s="16">
        <f ca="1"/>
        <v>1.4558681037233812E-2</v>
      </c>
      <c r="Q51" s="16">
        <f ca="1"/>
        <v>2.5978259810726788E-2</v>
      </c>
      <c r="R51" s="16">
        <f ca="1"/>
        <v>1.800832002376189E-2</v>
      </c>
    </row>
    <row r="52" spans="1:18">
      <c r="A52" s="1">
        <v>45036</v>
      </c>
      <c r="B52" s="16">
        <v>166.64999389648401</v>
      </c>
      <c r="C52" s="16">
        <v>286.10998535156199</v>
      </c>
      <c r="D52" s="16">
        <v>325.350006103515</v>
      </c>
      <c r="E52" s="16">
        <v>105.900001525878</v>
      </c>
      <c r="F52" s="4">
        <v>-5.8462742813442103E-3</v>
      </c>
      <c r="G52" s="4">
        <v>-8.1124172523504567E-3</v>
      </c>
      <c r="H52" s="4">
        <v>6.9014948626724415E-3</v>
      </c>
      <c r="I52" s="4">
        <v>8.379403075043923E-3</v>
      </c>
      <c r="J52" s="17">
        <v>0</v>
      </c>
      <c r="K52" s="16">
        <f ca="1"/>
        <v>165.26428658621612</v>
      </c>
      <c r="L52" s="16">
        <f ca="1"/>
        <v>287.31428309849287</v>
      </c>
      <c r="M52" s="16">
        <f ca="1"/>
        <v>332.96286010742142</v>
      </c>
      <c r="N52" s="16">
        <f ca="1"/>
        <v>106.47571454729314</v>
      </c>
      <c r="O52" s="16">
        <f ca="1"/>
        <v>1.3762467127764787E-2</v>
      </c>
      <c r="P52" s="16">
        <f ca="1"/>
        <v>1.1577969011745079E-2</v>
      </c>
      <c r="Q52" s="16">
        <f ca="1"/>
        <v>2.6456999039261055E-2</v>
      </c>
      <c r="R52" s="16">
        <f ca="1"/>
        <v>1.8248114999421597E-2</v>
      </c>
    </row>
    <row r="53" spans="1:18">
      <c r="A53" s="1">
        <v>45037</v>
      </c>
      <c r="B53" s="16">
        <v>165.02000427246</v>
      </c>
      <c r="C53" s="16">
        <v>285.760009765625</v>
      </c>
      <c r="D53" s="16">
        <v>327.98001098632801</v>
      </c>
      <c r="E53" s="16">
        <v>105.91000366210901</v>
      </c>
      <c r="F53" s="4">
        <v>-9.7809161939512723E-3</v>
      </c>
      <c r="G53" s="4">
        <v>-1.2232204531658075E-3</v>
      </c>
      <c r="H53" s="4">
        <v>8.0836171307039351E-3</v>
      </c>
      <c r="I53" s="4">
        <v>9.4448877118846752E-5</v>
      </c>
      <c r="J53" s="17">
        <v>0</v>
      </c>
      <c r="K53" s="16">
        <f ca="1"/>
        <v>165.967143467494</v>
      </c>
      <c r="L53" s="16">
        <f ca="1"/>
        <v>287.63857160295714</v>
      </c>
      <c r="M53" s="16">
        <f ca="1"/>
        <v>332.5271475655689</v>
      </c>
      <c r="N53" s="16">
        <f ca="1"/>
        <v>106.57428632463686</v>
      </c>
      <c r="O53" s="16">
        <f ca="1"/>
        <v>1.4522188516153431E-2</v>
      </c>
      <c r="P53" s="16">
        <f ca="1"/>
        <v>1.1623775852688287E-2</v>
      </c>
      <c r="Q53" s="16">
        <f ca="1"/>
        <v>2.5813820679722592E-2</v>
      </c>
      <c r="R53" s="16">
        <f ca="1"/>
        <v>1.7880042314732926E-2</v>
      </c>
    </row>
    <row r="54" spans="1:18">
      <c r="A54" s="1">
        <v>45040</v>
      </c>
      <c r="B54" s="16">
        <v>165.33000183105401</v>
      </c>
      <c r="C54" s="16">
        <v>281.76998901367102</v>
      </c>
      <c r="D54" s="16">
        <v>329.01998901367102</v>
      </c>
      <c r="E54" s="16">
        <v>106.77999877929599</v>
      </c>
      <c r="F54" s="4">
        <v>1.8785453312810674E-3</v>
      </c>
      <c r="G54" s="4">
        <v>-1.3962838100497366E-2</v>
      </c>
      <c r="H54" s="4">
        <v>3.1708579562990113E-3</v>
      </c>
      <c r="I54" s="4">
        <v>8.214475376307151E-3</v>
      </c>
      <c r="J54" s="17">
        <v>0</v>
      </c>
      <c r="K54" s="16">
        <f ca="1"/>
        <v>165.93428693498845</v>
      </c>
      <c r="L54" s="16">
        <f ca="1"/>
        <v>286.485713413783</v>
      </c>
      <c r="M54" s="16">
        <f ca="1"/>
        <v>330.07428850446382</v>
      </c>
      <c r="N54" s="16">
        <f ca="1"/>
        <v>106.37285723004972</v>
      </c>
      <c r="O54" s="16">
        <f ca="1"/>
        <v>6.3574774332888773E-3</v>
      </c>
      <c r="P54" s="16">
        <f ca="1"/>
        <v>8.1864102351457795E-3</v>
      </c>
      <c r="Q54" s="16">
        <f ca="1"/>
        <v>1.6138841575339034E-2</v>
      </c>
      <c r="R54" s="16">
        <f ca="1"/>
        <v>1.3991543441215632E-2</v>
      </c>
    </row>
    <row r="55" spans="1:18">
      <c r="A55" s="1">
        <v>45041</v>
      </c>
      <c r="B55" s="16">
        <v>163.77000427246</v>
      </c>
      <c r="C55" s="16">
        <v>275.42001342773398</v>
      </c>
      <c r="D55" s="16">
        <v>322.54998779296801</v>
      </c>
      <c r="E55" s="16">
        <v>104.61000061035099</v>
      </c>
      <c r="F55" s="4">
        <v>-9.4356592349652546E-3</v>
      </c>
      <c r="G55" s="4">
        <v>-2.2536025245857405E-2</v>
      </c>
      <c r="H55" s="4">
        <v>-1.9664462454389575E-2</v>
      </c>
      <c r="I55" s="4">
        <v>-2.0322140791836696E-2</v>
      </c>
      <c r="J55" s="17">
        <v>0</v>
      </c>
      <c r="K55" s="16">
        <f ca="1"/>
        <v>165.72857230050172</v>
      </c>
      <c r="L55" s="16">
        <f ca="1"/>
        <v>284.95428466796824</v>
      </c>
      <c r="M55" s="16">
        <f ca="1"/>
        <v>327.77714320591468</v>
      </c>
      <c r="N55" s="16">
        <f ca="1"/>
        <v>105.68000030517528</v>
      </c>
      <c r="O55" s="16">
        <f ca="1"/>
        <v>7.2658538117277146E-3</v>
      </c>
      <c r="P55" s="16">
        <f ca="1"/>
        <v>1.0450458059780461E-2</v>
      </c>
      <c r="Q55" s="16">
        <f ca="1"/>
        <v>1.5826584412852267E-2</v>
      </c>
      <c r="R55" s="16">
        <f ca="1"/>
        <v>1.4073101831785485E-2</v>
      </c>
    </row>
    <row r="56" spans="1:18">
      <c r="A56" s="1">
        <v>45042</v>
      </c>
      <c r="B56" s="16">
        <v>163.759994506835</v>
      </c>
      <c r="C56" s="16">
        <v>295.36999511718699</v>
      </c>
      <c r="D56" s="16">
        <v>321.14999389648398</v>
      </c>
      <c r="E56" s="16">
        <v>104.449996948242</v>
      </c>
      <c r="F56" s="4">
        <v>-6.1120872955178207E-5</v>
      </c>
      <c r="G56" s="4">
        <v>7.2434756796232458E-2</v>
      </c>
      <c r="H56" s="4">
        <v>-4.3403935807390104E-3</v>
      </c>
      <c r="I56" s="4">
        <v>-1.5295254868123997E-3</v>
      </c>
      <c r="J56" s="17">
        <v>0</v>
      </c>
      <c r="K56" s="16">
        <f ca="1"/>
        <v>165.51857212611543</v>
      </c>
      <c r="L56" s="16">
        <f ca="1"/>
        <v>285.89285714285671</v>
      </c>
      <c r="M56" s="16">
        <f ca="1"/>
        <v>326.1242850167406</v>
      </c>
      <c r="N56" s="16">
        <f ca="1"/>
        <v>105.39857155936056</v>
      </c>
      <c r="O56" s="16">
        <f ca="1"/>
        <v>7.2605460631784569E-3</v>
      </c>
      <c r="P56" s="16">
        <f ca="1"/>
        <v>3.1430197530344393E-2</v>
      </c>
      <c r="Q56" s="16">
        <f ca="1"/>
        <v>1.5118122403299345E-2</v>
      </c>
      <c r="R56" s="16">
        <f ca="1"/>
        <v>1.0449544090237765E-2</v>
      </c>
    </row>
    <row r="57" spans="1:18">
      <c r="A57" s="1">
        <v>45043</v>
      </c>
      <c r="B57" s="16">
        <v>168.41000366210901</v>
      </c>
      <c r="C57" s="16">
        <v>304.829986572265</v>
      </c>
      <c r="D57" s="16">
        <v>325.850006103515</v>
      </c>
      <c r="E57" s="16">
        <v>108.370002746582</v>
      </c>
      <c r="F57" s="4">
        <v>2.8395269365253384E-2</v>
      </c>
      <c r="G57" s="4">
        <v>3.2027597966830745E-2</v>
      </c>
      <c r="H57" s="4">
        <v>1.4634944095767155E-2</v>
      </c>
      <c r="I57" s="4">
        <v>3.752997523094681E-2</v>
      </c>
      <c r="J57" s="17">
        <v>0</v>
      </c>
      <c r="K57" s="16">
        <f ca="1"/>
        <v>165.79571533203057</v>
      </c>
      <c r="L57" s="16">
        <f ca="1"/>
        <v>288.24428449358214</v>
      </c>
      <c r="M57" s="16">
        <f ca="1"/>
        <v>325.00285557338117</v>
      </c>
      <c r="N57" s="16">
        <f ca="1"/>
        <v>105.86285727364627</v>
      </c>
      <c r="O57" s="16">
        <f ca="1"/>
        <v>1.3268251802406967E-2</v>
      </c>
      <c r="P57" s="16">
        <f ca="1"/>
        <v>3.3033033165613901E-2</v>
      </c>
      <c r="Q57" s="16">
        <f ca="1"/>
        <v>1.6697897914392031E-2</v>
      </c>
      <c r="R57" s="16">
        <f ca="1"/>
        <v>1.7423381332031928E-2</v>
      </c>
    </row>
    <row r="58" spans="1:18">
      <c r="A58" s="1">
        <v>45044</v>
      </c>
      <c r="B58" s="16">
        <v>169.67999267578099</v>
      </c>
      <c r="C58" s="16">
        <v>307.260009765625</v>
      </c>
      <c r="D58" s="16">
        <v>329.92999267578102</v>
      </c>
      <c r="E58" s="16">
        <v>108.220001220703</v>
      </c>
      <c r="F58" s="4">
        <v>7.5410544864071838E-3</v>
      </c>
      <c r="G58" s="4">
        <v>7.9717327704043051E-3</v>
      </c>
      <c r="H58" s="4">
        <v>1.2521057222168341E-2</v>
      </c>
      <c r="I58" s="4">
        <v>-1.3841609493152607E-3</v>
      </c>
      <c r="J58" s="17">
        <v>0</v>
      </c>
      <c r="K58" s="16">
        <f ca="1"/>
        <v>166.08857073102612</v>
      </c>
      <c r="L58" s="16">
        <f ca="1"/>
        <v>290.93142700195273</v>
      </c>
      <c r="M58" s="16">
        <f ca="1"/>
        <v>325.97571236746597</v>
      </c>
      <c r="N58" s="16">
        <f ca="1"/>
        <v>106.32000078473729</v>
      </c>
      <c r="O58" s="16">
        <f ca="1"/>
        <v>1.3307641838777973E-2</v>
      </c>
      <c r="P58" s="16">
        <f ca="1"/>
        <v>3.2844600902689078E-2</v>
      </c>
      <c r="Q58" s="16">
        <f ca="1"/>
        <v>1.179450602674827E-2</v>
      </c>
      <c r="R58" s="16">
        <f ca="1"/>
        <v>1.7446652876092688E-2</v>
      </c>
    </row>
    <row r="59" spans="1:18">
      <c r="A59" s="1">
        <v>45047</v>
      </c>
      <c r="B59" s="16">
        <v>169.58999633789</v>
      </c>
      <c r="C59" s="16">
        <v>305.55999755859301</v>
      </c>
      <c r="D59" s="16">
        <v>324.11999511718699</v>
      </c>
      <c r="E59" s="16">
        <v>107.709999084472</v>
      </c>
      <c r="F59" s="4">
        <v>-5.303886243261946E-4</v>
      </c>
      <c r="G59" s="4">
        <v>-5.5328130996570302E-3</v>
      </c>
      <c r="H59" s="4">
        <v>-1.7609789008492638E-2</v>
      </c>
      <c r="I59" s="4">
        <v>-4.7126421223272486E-3</v>
      </c>
      <c r="J59" s="17">
        <v>0</v>
      </c>
      <c r="K59" s="16">
        <f ca="1"/>
        <v>166.50857107979846</v>
      </c>
      <c r="L59" s="16">
        <f ca="1"/>
        <v>293.7100001743857</v>
      </c>
      <c r="M59" s="16">
        <f ca="1"/>
        <v>325.79999651227627</v>
      </c>
      <c r="N59" s="16">
        <f ca="1"/>
        <v>106.57857186453643</v>
      </c>
      <c r="O59" s="16">
        <f ca="1"/>
        <v>1.294443368772343E-2</v>
      </c>
      <c r="P59" s="16">
        <f ca="1"/>
        <v>3.2627623925766146E-2</v>
      </c>
      <c r="Q59" s="16">
        <f ca="1"/>
        <v>1.3907586459490162E-2</v>
      </c>
      <c r="R59" s="16">
        <f ca="1"/>
        <v>1.765274006975083E-2</v>
      </c>
    </row>
    <row r="60" spans="1:18">
      <c r="A60" s="1">
        <v>45048</v>
      </c>
      <c r="B60" s="16">
        <v>168.53999328613199</v>
      </c>
      <c r="C60" s="16">
        <v>305.41000366210898</v>
      </c>
      <c r="D60" s="16">
        <v>317.54998779296801</v>
      </c>
      <c r="E60" s="16">
        <v>105.980003356933</v>
      </c>
      <c r="F60" s="4">
        <v>-6.1914209235902629E-3</v>
      </c>
      <c r="G60" s="4">
        <v>-4.9088197958657709E-4</v>
      </c>
      <c r="H60" s="4">
        <v>-2.0270293172883536E-2</v>
      </c>
      <c r="I60" s="4">
        <v>-1.6061607485320373E-2</v>
      </c>
      <c r="J60" s="17">
        <v>0</v>
      </c>
      <c r="K60" s="16">
        <f ca="1"/>
        <v>167.01142665318017</v>
      </c>
      <c r="L60" s="16">
        <f ca="1"/>
        <v>296.51714215959771</v>
      </c>
      <c r="M60" s="16">
        <f ca="1"/>
        <v>324.30999319893914</v>
      </c>
      <c r="N60" s="16">
        <f ca="1"/>
        <v>106.58857182093985</v>
      </c>
      <c r="O60" s="16">
        <f ca="1"/>
        <v>1.2434559996525802E-2</v>
      </c>
      <c r="P60" s="16">
        <f ca="1"/>
        <v>3.2587226828720582E-2</v>
      </c>
      <c r="Q60" s="16">
        <f ca="1"/>
        <v>1.508453493239144E-2</v>
      </c>
      <c r="R60" s="16">
        <f ca="1"/>
        <v>1.9030571508637465E-2</v>
      </c>
    </row>
    <row r="61" spans="1:18">
      <c r="A61" s="1">
        <v>45049</v>
      </c>
      <c r="B61" s="16">
        <v>167.44999694824199</v>
      </c>
      <c r="C61" s="16">
        <v>304.39999389648398</v>
      </c>
      <c r="D61" s="16">
        <v>319.29998779296801</v>
      </c>
      <c r="E61" s="16">
        <v>106.120002746582</v>
      </c>
      <c r="F61" s="4">
        <v>-6.4672859932983773E-3</v>
      </c>
      <c r="G61" s="4">
        <v>-3.3070618300454768E-3</v>
      </c>
      <c r="H61" s="4">
        <v>5.5109433704054744E-3</v>
      </c>
      <c r="I61" s="4">
        <v>1.32099816205411E-3</v>
      </c>
      <c r="J61" s="17">
        <v>0</v>
      </c>
      <c r="K61" s="16">
        <f ca="1"/>
        <v>167.31428309849272</v>
      </c>
      <c r="L61" s="16">
        <f ca="1"/>
        <v>299.74999999999955</v>
      </c>
      <c r="M61" s="16">
        <f ca="1"/>
        <v>322.92142159598154</v>
      </c>
      <c r="N61" s="16">
        <f ca="1"/>
        <v>106.49428667340929</v>
      </c>
      <c r="O61" s="16">
        <f ca="1"/>
        <v>1.2958606955600955E-2</v>
      </c>
      <c r="P61" s="16">
        <f ca="1"/>
        <v>3.1513153216591101E-2</v>
      </c>
      <c r="Q61" s="16">
        <f ca="1"/>
        <v>1.5307365524477843E-2</v>
      </c>
      <c r="R61" s="16">
        <f ca="1"/>
        <v>1.8725520590898482E-2</v>
      </c>
    </row>
    <row r="62" spans="1:18">
      <c r="A62" s="1">
        <v>45050</v>
      </c>
      <c r="B62" s="16">
        <v>165.78999328613199</v>
      </c>
      <c r="C62" s="16">
        <v>305.41000366210898</v>
      </c>
      <c r="D62" s="16">
        <v>320.77999877929602</v>
      </c>
      <c r="E62" s="16">
        <v>105.209999084472</v>
      </c>
      <c r="F62" s="4">
        <v>-9.913429037703092E-3</v>
      </c>
      <c r="G62" s="4">
        <v>3.3180347762045148E-3</v>
      </c>
      <c r="H62" s="4">
        <v>4.635173952113103E-3</v>
      </c>
      <c r="I62" s="4">
        <v>-8.5752321763797879E-3</v>
      </c>
      <c r="J62" s="17">
        <v>0</v>
      </c>
      <c r="K62" s="16">
        <f ca="1"/>
        <v>167.60285295758871</v>
      </c>
      <c r="L62" s="16">
        <f ca="1"/>
        <v>304.03428431919599</v>
      </c>
      <c r="M62" s="16">
        <f ca="1"/>
        <v>322.66856602259986</v>
      </c>
      <c r="N62" s="16">
        <f ca="1"/>
        <v>106.58000074114086</v>
      </c>
      <c r="O62" s="16">
        <f ca="1"/>
        <v>1.302928449989193E-2</v>
      </c>
      <c r="P62" s="16">
        <f ca="1"/>
        <v>2.819863759200484E-2</v>
      </c>
      <c r="Q62" s="16">
        <f ca="1"/>
        <v>1.3899559463092829E-2</v>
      </c>
      <c r="R62" s="16">
        <f ca="1"/>
        <v>1.7136794633986596E-2</v>
      </c>
    </row>
    <row r="63" spans="1:18">
      <c r="A63" s="1">
        <v>45051</v>
      </c>
      <c r="B63" s="16">
        <v>173.57000732421801</v>
      </c>
      <c r="C63" s="16">
        <v>310.64999389648398</v>
      </c>
      <c r="D63" s="16">
        <v>322.760009765625</v>
      </c>
      <c r="E63" s="16">
        <v>106.21499633789</v>
      </c>
      <c r="F63" s="4">
        <v>4.6926921727167947E-2</v>
      </c>
      <c r="G63" s="4">
        <v>1.7157231824574737E-2</v>
      </c>
      <c r="H63" s="4">
        <v>6.1724889140961636E-3</v>
      </c>
      <c r="I63" s="4">
        <v>9.5522979009923237E-3</v>
      </c>
      <c r="J63" s="17">
        <v>0</v>
      </c>
      <c r="K63" s="16">
        <f ca="1"/>
        <v>169.00428336007198</v>
      </c>
      <c r="L63" s="16">
        <f ca="1"/>
        <v>306.21714128766695</v>
      </c>
      <c r="M63" s="16">
        <f ca="1"/>
        <v>322.89856828962002</v>
      </c>
      <c r="N63" s="16">
        <f ca="1"/>
        <v>106.83214351109056</v>
      </c>
      <c r="O63" s="16">
        <f ca="1"/>
        <v>2.1345646350231808E-2</v>
      </c>
      <c r="P63" s="16">
        <f ca="1"/>
        <v>1.330923747239068E-2</v>
      </c>
      <c r="Q63" s="16">
        <f ca="1"/>
        <v>1.4008518990239463E-2</v>
      </c>
      <c r="R63" s="16">
        <f ca="1"/>
        <v>1.7380654753748222E-2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2669-3067-438D-8285-824E3DC2DC24}">
  <sheetPr>
    <pageSetUpPr fitToPage="1"/>
  </sheetPr>
  <dimension ref="A1:Q41"/>
  <sheetViews>
    <sheetView showGridLines="0" tabSelected="1" workbookViewId="0">
      <selection activeCell="S7" sqref="S7"/>
    </sheetView>
  </sheetViews>
  <sheetFormatPr defaultRowHeight="15"/>
  <cols>
    <col min="1" max="1" width="9.28515625" customWidth="1"/>
    <col min="2" max="2" width="9.28515625" bestFit="1" customWidth="1"/>
  </cols>
  <sheetData>
    <row r="1" spans="1:17" ht="23.25">
      <c r="A1" s="45" t="s">
        <v>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s="46" t="s">
        <v>44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s="8" customFormat="1" ht="2.25" customHeight="1"/>
    <row r="4" spans="1:17">
      <c r="A4" s="47" t="s">
        <v>22</v>
      </c>
      <c r="B4" s="47"/>
      <c r="C4" s="48" t="s">
        <v>23</v>
      </c>
      <c r="D4" s="48"/>
      <c r="E4" s="48" t="s">
        <v>24</v>
      </c>
      <c r="F4" s="48"/>
      <c r="G4" s="48" t="s">
        <v>25</v>
      </c>
      <c r="H4" s="48"/>
      <c r="I4" s="13"/>
    </row>
    <row r="5" spans="1:17">
      <c r="A5" s="14"/>
      <c r="B5" s="14"/>
      <c r="C5" s="15"/>
      <c r="D5" s="15"/>
      <c r="E5" s="15"/>
      <c r="F5" s="15"/>
      <c r="G5" s="15"/>
      <c r="H5" s="15"/>
      <c r="I5" s="13"/>
    </row>
    <row r="6" spans="1:17">
      <c r="A6" s="12"/>
      <c r="B6" s="12"/>
    </row>
    <row r="7" spans="1:17">
      <c r="A7" s="11"/>
    </row>
    <row r="8" spans="1:17">
      <c r="A8" s="11"/>
    </row>
    <row r="37" spans="10:14">
      <c r="J37" s="22"/>
      <c r="K37" s="23" t="s">
        <v>22</v>
      </c>
      <c r="L37" s="24" t="s">
        <v>23</v>
      </c>
      <c r="M37" s="25" t="s">
        <v>24</v>
      </c>
      <c r="N37" s="26" t="s">
        <v>25</v>
      </c>
    </row>
    <row r="38" spans="10:14">
      <c r="J38" s="27" t="s">
        <v>22</v>
      </c>
      <c r="K38" s="31">
        <v>1</v>
      </c>
      <c r="L38" s="32">
        <v>0.95397672071022521</v>
      </c>
      <c r="M38" s="33">
        <v>0.15117759259183955</v>
      </c>
      <c r="N38" s="34">
        <v>0.9004047124059632</v>
      </c>
    </row>
    <row r="39" spans="10:14">
      <c r="J39" s="28" t="s">
        <v>23</v>
      </c>
      <c r="K39" s="35">
        <v>0.95397672071022521</v>
      </c>
      <c r="L39" s="36">
        <v>0.99999999999999978</v>
      </c>
      <c r="M39" s="37">
        <v>0.18453513243382855</v>
      </c>
      <c r="N39" s="38">
        <v>0.88459033183049718</v>
      </c>
    </row>
    <row r="40" spans="10:14">
      <c r="J40" s="29" t="s">
        <v>24</v>
      </c>
      <c r="K40" s="39">
        <v>0.15117759259183955</v>
      </c>
      <c r="L40" s="40">
        <v>0.18453513243382855</v>
      </c>
      <c r="M40" s="31">
        <v>0.99999999999999978</v>
      </c>
      <c r="N40" s="41">
        <v>0.20104610369838907</v>
      </c>
    </row>
    <row r="41" spans="10:14">
      <c r="J41" s="30" t="s">
        <v>25</v>
      </c>
      <c r="K41" s="42">
        <v>0.9004047124059632</v>
      </c>
      <c r="L41" s="43">
        <v>0.88459033183049718</v>
      </c>
      <c r="M41" s="43">
        <v>0.20104610369838907</v>
      </c>
      <c r="N41" s="44">
        <v>1</v>
      </c>
    </row>
  </sheetData>
  <mergeCells count="6">
    <mergeCell ref="A1:Q1"/>
    <mergeCell ref="A2:Q2"/>
    <mergeCell ref="A4:B4"/>
    <mergeCell ref="C4:D4"/>
    <mergeCell ref="E4:F4"/>
    <mergeCell ref="G4:H4"/>
  </mergeCells>
  <conditionalFormatting sqref="K38:N38 M40 N40:N41 L39:N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orientation="landscape"/>
  <rowBreaks count="1" manualBreakCount="1">
    <brk id="23" max="16383" man="1"/>
  </rowBreaks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2025-11-03T14:45:56Z</dcterms:created>
  <dcterms:modified xsi:type="dcterms:W3CDTF">2025-12-26T12:33:51Z</dcterms:modified>
  <cp:category/>
  <cp:contentStatus/>
</cp:coreProperties>
</file>